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  <sheet state="visible" name="HorasTotales" sheetId="2" r:id="rId6"/>
    <sheet state="visible" name="Ismael" sheetId="3" r:id="rId7"/>
    <sheet state="visible" name="Alvaro dla Herran" sheetId="4" r:id="rId8"/>
    <sheet state="visible" name="Urien" sheetId="5" r:id="rId9"/>
    <sheet state="visible" name="Alvaro lpz de Ocariz" sheetId="6" r:id="rId10"/>
  </sheets>
  <definedNames/>
  <calcPr/>
</workbook>
</file>

<file path=xl/sharedStrings.xml><?xml version="1.0" encoding="utf-8"?>
<sst xmlns="http://schemas.openxmlformats.org/spreadsheetml/2006/main" count="70" uniqueCount="41">
  <si>
    <t>*</t>
  </si>
  <si>
    <t>SEMANA</t>
  </si>
  <si>
    <t>TOTAL HORAS</t>
  </si>
  <si>
    <t>TAREA</t>
  </si>
  <si>
    <t>Planifs</t>
  </si>
  <si>
    <t>Reales</t>
  </si>
  <si>
    <t>Faltan/
Sobran</t>
  </si>
  <si>
    <t>T1</t>
  </si>
  <si>
    <t xml:space="preserve">Ventana Principal </t>
  </si>
  <si>
    <t>T2</t>
  </si>
  <si>
    <t>Ventana Inicio Sesion - Registro</t>
  </si>
  <si>
    <t>T3</t>
  </si>
  <si>
    <t>Clase cafeteria</t>
  </si>
  <si>
    <t>T4</t>
  </si>
  <si>
    <t>Ventana Instalaciones</t>
  </si>
  <si>
    <t>T5</t>
  </si>
  <si>
    <t>Ventana tienda</t>
  </si>
  <si>
    <t>T6</t>
  </si>
  <si>
    <t>Ventana Carrito</t>
  </si>
  <si>
    <t>T7</t>
  </si>
  <si>
    <t>Gestion de Usuarios</t>
  </si>
  <si>
    <t>T8</t>
  </si>
  <si>
    <t>Reserva de instalaciones</t>
  </si>
  <si>
    <t>T9</t>
  </si>
  <si>
    <t>Ventana Comida y Carrito</t>
  </si>
  <si>
    <t>T10</t>
  </si>
  <si>
    <t>Gestion reservas</t>
  </si>
  <si>
    <t>T11</t>
  </si>
  <si>
    <t>Usuario admin + Tabla</t>
  </si>
  <si>
    <t>T12</t>
  </si>
  <si>
    <t>Base de Datos DeustoClub</t>
  </si>
  <si>
    <t>T13</t>
  </si>
  <si>
    <t>Metodo Recursivo</t>
  </si>
  <si>
    <t>T14</t>
  </si>
  <si>
    <t>Mejoras y Optimización de la Interfaz</t>
  </si>
  <si>
    <t>T15</t>
  </si>
  <si>
    <t>Repaso y Comentarios del Codigo</t>
  </si>
  <si>
    <t>T16</t>
  </si>
  <si>
    <t>Preparación y Presentación del Proyecto</t>
  </si>
  <si>
    <t>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</si>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</sst>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0">
    <font>
      <sz val="10.0"/>
      <color rgb="FF000000"/>
      <name val="Arial"/>
      <scheme val="minor"/>
    </font>
    <font>
      <b/>
      <sz val="11.0"/>
      <color rgb="FF000000"/>
      <name val="Spectral"/>
    </font>
    <font>
      <b/>
      <sz val="11.0"/>
      <color theme="1"/>
      <name val="Spectral"/>
    </font>
    <font>
      <b/>
      <sz val="11.0"/>
      <color rgb="FFFFFFFF"/>
      <name val="Spectral"/>
    </font>
    <font/>
    <font>
      <b/>
      <sz val="11.0"/>
      <color rgb="FF783F04"/>
      <name val="Spectral"/>
    </font>
    <font>
      <sz val="11.0"/>
      <color theme="1"/>
      <name val="Spectral"/>
    </font>
    <font>
      <sz val="11.0"/>
      <color rgb="FF000000"/>
      <name val="Spectral"/>
    </font>
    <font>
      <sz val="11.0"/>
      <color rgb="FFFFFFFF"/>
      <name val="Spectral"/>
    </font>
    <font>
      <i/>
      <sz val="11.0"/>
      <color theme="1"/>
      <name val="Spectr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4" fillId="2" fontId="3" numFmtId="164" xfId="0" applyAlignment="1" applyBorder="1" applyFont="1" applyNumberFormat="1">
      <alignment horizontal="center" readingOrder="0" vertical="center"/>
    </xf>
    <xf borderId="4" fillId="2" fontId="3" numFmtId="16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left" readingOrder="0"/>
    </xf>
    <xf borderId="6" fillId="0" fontId="6" numFmtId="0" xfId="0" applyAlignment="1" applyBorder="1" applyFont="1">
      <alignment horizontal="left" readingOrder="0"/>
    </xf>
    <xf borderId="0" fillId="0" fontId="6" numFmtId="0" xfId="0" applyAlignment="1" applyFont="1">
      <alignment horizontal="center"/>
    </xf>
    <xf borderId="4" fillId="2" fontId="3" numFmtId="0" xfId="0" applyAlignment="1" applyBorder="1" applyFont="1">
      <alignment readingOrder="0"/>
    </xf>
    <xf borderId="4" fillId="2" fontId="8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9" numFmtId="0" xfId="0" applyFont="1"/>
    <xf borderId="0" fillId="3" fontId="5" numFmtId="0" xfId="0" applyAlignment="1" applyFont="1">
      <alignment horizontal="center" readingOrder="0" vertical="center"/>
    </xf>
    <xf borderId="4" fillId="0" fontId="6" numFmtId="0" xfId="0" applyBorder="1" applyFont="1"/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3" fontId="5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readingOrder="0" vertical="center"/>
    </xf>
    <xf borderId="4" fillId="3" fontId="5" numFmtId="0" xfId="0" applyAlignment="1" applyBorder="1" applyFont="1">
      <alignment horizontal="left" readingOrder="0" vertical="center"/>
    </xf>
    <xf borderId="4" fillId="3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.75"/>
    <col customWidth="1" min="2" max="2" width="36.38"/>
    <col customWidth="1" min="3" max="3" width="9.38"/>
    <col customWidth="1" min="4" max="4" width="7.0"/>
    <col customWidth="1" min="5" max="7" width="8.13"/>
    <col customWidth="1" min="8" max="8" width="7.0"/>
    <col customWidth="1" min="9" max="11" width="8.13"/>
    <col customWidth="1" min="12" max="13" width="7.0"/>
    <col customWidth="1" min="14" max="16" width="8.13"/>
    <col customWidth="1" min="17" max="17" width="6.0"/>
    <col customWidth="1" min="18" max="19" width="7.0"/>
    <col customWidth="1" min="20" max="20" width="8.13"/>
    <col customWidth="1" min="21" max="23" width="10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7" t="s">
        <v>2</v>
      </c>
      <c r="V1" s="4"/>
      <c r="W1" s="5"/>
    </row>
    <row r="2">
      <c r="A2" s="8" t="s">
        <v>3</v>
      </c>
      <c r="B2" s="5"/>
      <c r="C2" s="9">
        <v>45933.0</v>
      </c>
      <c r="D2" s="10">
        <f t="shared" ref="D2:S2" si="1">C2+7</f>
        <v>45940</v>
      </c>
      <c r="E2" s="10">
        <f t="shared" si="1"/>
        <v>45947</v>
      </c>
      <c r="F2" s="10">
        <f t="shared" si="1"/>
        <v>45954</v>
      </c>
      <c r="G2" s="10">
        <f t="shared" si="1"/>
        <v>45961</v>
      </c>
      <c r="H2" s="10">
        <f t="shared" si="1"/>
        <v>45968</v>
      </c>
      <c r="I2" s="10">
        <f t="shared" si="1"/>
        <v>45975</v>
      </c>
      <c r="J2" s="10">
        <f t="shared" si="1"/>
        <v>45982</v>
      </c>
      <c r="K2" s="10">
        <f t="shared" si="1"/>
        <v>45989</v>
      </c>
      <c r="L2" s="10">
        <f t="shared" si="1"/>
        <v>45996</v>
      </c>
      <c r="M2" s="10">
        <f t="shared" si="1"/>
        <v>46003</v>
      </c>
      <c r="N2" s="10">
        <f t="shared" si="1"/>
        <v>46010</v>
      </c>
      <c r="O2" s="10">
        <f t="shared" si="1"/>
        <v>46017</v>
      </c>
      <c r="P2" s="10">
        <f t="shared" si="1"/>
        <v>46024</v>
      </c>
      <c r="Q2" s="10">
        <f t="shared" si="1"/>
        <v>46031</v>
      </c>
      <c r="R2" s="10">
        <f t="shared" si="1"/>
        <v>46038</v>
      </c>
      <c r="S2" s="10">
        <f t="shared" si="1"/>
        <v>46045</v>
      </c>
      <c r="T2" s="6"/>
      <c r="U2" s="11" t="s">
        <v>4</v>
      </c>
      <c r="V2" s="11" t="s">
        <v>5</v>
      </c>
      <c r="W2" s="12" t="s">
        <v>6</v>
      </c>
    </row>
    <row r="3" ht="15.75" customHeight="1">
      <c r="A3" s="13" t="s">
        <v>7</v>
      </c>
      <c r="B3" s="14" t="s">
        <v>8</v>
      </c>
      <c r="C3" s="15"/>
      <c r="D3" s="15">
        <v>2.0</v>
      </c>
      <c r="E3" s="15"/>
      <c r="F3" s="16"/>
      <c r="G3" s="17"/>
      <c r="H3" s="17"/>
      <c r="I3" s="17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f>SUM(HorasTotales!B2:R2)</f>
        <v>14</v>
      </c>
      <c r="W3" s="17">
        <f t="shared" ref="W3:W18" si="2">U3-V3</f>
        <v>-14</v>
      </c>
    </row>
    <row r="4" ht="15.75" customHeight="1">
      <c r="A4" s="13" t="s">
        <v>9</v>
      </c>
      <c r="B4" s="14" t="s">
        <v>10</v>
      </c>
      <c r="C4" s="16"/>
      <c r="D4" s="15">
        <v>1.0</v>
      </c>
      <c r="E4" s="15">
        <v>1.0</v>
      </c>
      <c r="F4" s="1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>
        <f t="shared" ref="U4:U16" si="3">SUM(C4:S4)</f>
        <v>2</v>
      </c>
      <c r="V4" s="17">
        <f>SUM(HorasTotales!B3:R3)</f>
        <v>2</v>
      </c>
      <c r="W4" s="17">
        <f t="shared" si="2"/>
        <v>0</v>
      </c>
    </row>
    <row r="5" ht="15.75" customHeight="1">
      <c r="A5" s="13" t="s">
        <v>11</v>
      </c>
      <c r="B5" s="14" t="s">
        <v>12</v>
      </c>
      <c r="C5" s="16"/>
      <c r="D5" s="16"/>
      <c r="E5" s="16">
        <v>1.0</v>
      </c>
      <c r="F5" s="16">
        <v>1.0</v>
      </c>
      <c r="G5" s="16">
        <v>1.0</v>
      </c>
      <c r="H5" s="16">
        <v>1.0</v>
      </c>
      <c r="I5" s="16"/>
      <c r="J5" s="17"/>
      <c r="K5" s="17"/>
      <c r="L5" s="16"/>
      <c r="M5" s="16"/>
      <c r="N5" s="16"/>
      <c r="O5" s="17"/>
      <c r="P5" s="17"/>
      <c r="Q5" s="16"/>
      <c r="R5" s="17"/>
      <c r="S5" s="17"/>
      <c r="T5" s="17"/>
      <c r="U5" s="17">
        <f t="shared" si="3"/>
        <v>4</v>
      </c>
      <c r="V5" s="16">
        <f>SUM(HorasTotales!B4:R4)</f>
        <v>3</v>
      </c>
      <c r="W5" s="17">
        <f t="shared" si="2"/>
        <v>1</v>
      </c>
    </row>
    <row r="6" ht="15.75" customHeight="1">
      <c r="A6" s="13" t="s">
        <v>13</v>
      </c>
      <c r="B6" s="14" t="s">
        <v>14</v>
      </c>
      <c r="C6" s="17"/>
      <c r="D6" s="17"/>
      <c r="E6" s="16"/>
      <c r="F6" s="16"/>
      <c r="G6" s="16">
        <v>1.0</v>
      </c>
      <c r="H6" s="16">
        <v>1.0</v>
      </c>
      <c r="I6" s="16">
        <v>2.0</v>
      </c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>
        <f t="shared" si="3"/>
        <v>4</v>
      </c>
      <c r="V6" s="17">
        <f>SUM(HorasTotales!B5:R5)</f>
        <v>4</v>
      </c>
      <c r="W6" s="17">
        <f t="shared" si="2"/>
        <v>0</v>
      </c>
    </row>
    <row r="7" ht="15.75" customHeight="1">
      <c r="A7" s="13" t="s">
        <v>15</v>
      </c>
      <c r="B7" s="14" t="s">
        <v>16</v>
      </c>
      <c r="C7" s="17"/>
      <c r="D7" s="17"/>
      <c r="E7" s="17"/>
      <c r="F7" s="16"/>
      <c r="G7" s="16"/>
      <c r="H7" s="16"/>
      <c r="I7" s="16">
        <v>2.0</v>
      </c>
      <c r="J7" s="16"/>
      <c r="K7" s="16"/>
      <c r="L7" s="16"/>
      <c r="M7" s="16"/>
      <c r="N7" s="17"/>
      <c r="O7" s="17"/>
      <c r="P7" s="17"/>
      <c r="Q7" s="17"/>
      <c r="R7" s="17"/>
      <c r="S7" s="17"/>
      <c r="T7" s="17"/>
      <c r="U7" s="17">
        <f t="shared" si="3"/>
        <v>2</v>
      </c>
      <c r="V7" s="16">
        <f>SUM(HorasTotales!B6:R6)</f>
        <v>6</v>
      </c>
      <c r="W7" s="17">
        <f t="shared" si="2"/>
        <v>-4</v>
      </c>
    </row>
    <row r="8" ht="15.75" customHeight="1">
      <c r="A8" s="13" t="s">
        <v>17</v>
      </c>
      <c r="B8" s="14" t="s">
        <v>18</v>
      </c>
      <c r="C8" s="17"/>
      <c r="D8" s="17"/>
      <c r="E8" s="17"/>
      <c r="F8" s="17"/>
      <c r="G8" s="16"/>
      <c r="H8" s="16">
        <v>1.0</v>
      </c>
      <c r="I8" s="16">
        <v>1.0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  <c r="U8" s="17">
        <f t="shared" si="3"/>
        <v>2</v>
      </c>
      <c r="V8" s="16">
        <f>SUM(HorasTotales!B7:R7)</f>
        <v>6</v>
      </c>
      <c r="W8" s="17">
        <f t="shared" si="2"/>
        <v>-4</v>
      </c>
    </row>
    <row r="9" ht="15.75" customHeight="1">
      <c r="A9" s="13" t="s">
        <v>19</v>
      </c>
      <c r="B9" s="14" t="s">
        <v>20</v>
      </c>
      <c r="C9" s="17"/>
      <c r="D9" s="17"/>
      <c r="E9" s="17"/>
      <c r="F9" s="17"/>
      <c r="G9" s="17"/>
      <c r="H9" s="17"/>
      <c r="I9" s="17"/>
      <c r="J9" s="16">
        <v>2.0</v>
      </c>
      <c r="K9" s="16"/>
      <c r="L9" s="16"/>
      <c r="M9" s="16"/>
      <c r="N9" s="16"/>
      <c r="O9" s="16"/>
      <c r="P9" s="17"/>
      <c r="Q9" s="17"/>
      <c r="R9" s="17"/>
      <c r="S9" s="17"/>
      <c r="T9" s="17"/>
      <c r="U9" s="17">
        <f t="shared" si="3"/>
        <v>2</v>
      </c>
      <c r="V9" s="17">
        <f>SUM(HorasTotales!B8:R8)</f>
        <v>0</v>
      </c>
      <c r="W9" s="17">
        <f t="shared" si="2"/>
        <v>2</v>
      </c>
    </row>
    <row r="10" ht="15.75" customHeight="1">
      <c r="A10" s="13" t="s">
        <v>21</v>
      </c>
      <c r="B10" s="14" t="s">
        <v>22</v>
      </c>
      <c r="C10" s="17"/>
      <c r="D10" s="17"/>
      <c r="E10" s="17"/>
      <c r="F10" s="17"/>
      <c r="G10" s="17"/>
      <c r="H10" s="17"/>
      <c r="I10" s="17"/>
      <c r="J10" s="17"/>
      <c r="K10" s="16">
        <v>2.0</v>
      </c>
      <c r="L10" s="16">
        <v>2.0</v>
      </c>
      <c r="M10" s="16">
        <v>2.0</v>
      </c>
      <c r="N10" s="16"/>
      <c r="O10" s="16"/>
      <c r="P10" s="16"/>
      <c r="Q10" s="17"/>
      <c r="R10" s="17"/>
      <c r="S10" s="17"/>
      <c r="T10" s="17"/>
      <c r="U10" s="17">
        <f t="shared" si="3"/>
        <v>6</v>
      </c>
      <c r="V10" s="17">
        <f>SUM(HorasTotales!B9:R9)</f>
        <v>4</v>
      </c>
      <c r="W10" s="17">
        <f t="shared" si="2"/>
        <v>2</v>
      </c>
    </row>
    <row r="11" ht="15.75" customHeight="1">
      <c r="A11" s="19" t="s">
        <v>23</v>
      </c>
      <c r="B11" s="14" t="s">
        <v>24</v>
      </c>
      <c r="C11" s="17"/>
      <c r="D11" s="17"/>
      <c r="E11" s="17"/>
      <c r="F11" s="17"/>
      <c r="G11" s="17"/>
      <c r="H11" s="17"/>
      <c r="I11" s="17"/>
      <c r="J11" s="17"/>
      <c r="K11" s="16"/>
      <c r="L11" s="16">
        <v>3.0</v>
      </c>
      <c r="M11" s="16"/>
      <c r="N11" s="16"/>
      <c r="O11" s="16"/>
      <c r="P11" s="16"/>
      <c r="Q11" s="17"/>
      <c r="R11" s="17"/>
      <c r="S11" s="17"/>
      <c r="T11" s="17"/>
      <c r="U11" s="17">
        <f t="shared" si="3"/>
        <v>3</v>
      </c>
      <c r="V11" s="17">
        <f>SUM(HorasTotales!B10:R10)</f>
        <v>3</v>
      </c>
      <c r="W11" s="17">
        <f t="shared" si="2"/>
        <v>0</v>
      </c>
    </row>
    <row r="12" ht="15.75" customHeight="1">
      <c r="A12" s="19" t="s">
        <v>25</v>
      </c>
      <c r="B12" s="14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6"/>
      <c r="N12" s="16">
        <v>3.0</v>
      </c>
      <c r="O12" s="16">
        <v>3.0</v>
      </c>
      <c r="P12" s="16"/>
      <c r="Q12" s="16"/>
      <c r="R12" s="17"/>
      <c r="S12" s="17"/>
      <c r="T12" s="17"/>
      <c r="U12" s="17">
        <f t="shared" si="3"/>
        <v>6</v>
      </c>
      <c r="V12" s="17">
        <f>SUM(HorasTotales!B11:R11)</f>
        <v>3</v>
      </c>
      <c r="W12" s="17">
        <f t="shared" si="2"/>
        <v>3</v>
      </c>
    </row>
    <row r="13" ht="15.75" customHeight="1">
      <c r="A13" s="19" t="s">
        <v>27</v>
      </c>
      <c r="B13" s="14" t="s">
        <v>28</v>
      </c>
      <c r="C13" s="17"/>
      <c r="D13" s="17"/>
      <c r="E13" s="17"/>
      <c r="F13" s="17"/>
      <c r="G13" s="17"/>
      <c r="H13" s="17"/>
      <c r="I13" s="16">
        <v>2.0</v>
      </c>
      <c r="J13" s="17"/>
      <c r="K13" s="17"/>
      <c r="L13" s="17"/>
      <c r="M13" s="16"/>
      <c r="N13" s="16">
        <v>2.0</v>
      </c>
      <c r="O13" s="16">
        <v>3.0</v>
      </c>
      <c r="P13" s="16">
        <v>2.0</v>
      </c>
      <c r="Q13" s="16"/>
      <c r="R13" s="17"/>
      <c r="S13" s="17"/>
      <c r="T13" s="17"/>
      <c r="U13" s="17">
        <f t="shared" si="3"/>
        <v>9</v>
      </c>
      <c r="V13" s="17">
        <f>SUM(HorasTotales!B12:R12)</f>
        <v>3</v>
      </c>
      <c r="W13" s="17">
        <f t="shared" si="2"/>
        <v>6</v>
      </c>
    </row>
    <row r="14" ht="15.75" customHeight="1">
      <c r="A14" s="19" t="s">
        <v>29</v>
      </c>
      <c r="B14" s="14" t="s">
        <v>30</v>
      </c>
      <c r="C14" s="17"/>
      <c r="D14" s="17"/>
      <c r="E14" s="17"/>
      <c r="F14" s="17"/>
      <c r="G14" s="17"/>
      <c r="H14" s="17"/>
      <c r="I14" s="17"/>
      <c r="J14" s="17"/>
      <c r="K14" s="17"/>
      <c r="L14" s="16">
        <v>2.0</v>
      </c>
      <c r="M14" s="16">
        <v>2.0</v>
      </c>
      <c r="N14" s="16">
        <v>3.0</v>
      </c>
      <c r="O14" s="16">
        <v>3.0</v>
      </c>
      <c r="P14" s="16">
        <v>2.0</v>
      </c>
      <c r="Q14" s="16">
        <v>1.0</v>
      </c>
      <c r="R14" s="17"/>
      <c r="S14" s="17"/>
      <c r="T14" s="17"/>
      <c r="U14" s="17">
        <f t="shared" si="3"/>
        <v>13</v>
      </c>
      <c r="V14" s="17">
        <f>SUM(HorasTotales!B13:R13)</f>
        <v>22</v>
      </c>
      <c r="W14" s="17">
        <f t="shared" si="2"/>
        <v>-9</v>
      </c>
    </row>
    <row r="15" ht="15.75" customHeight="1">
      <c r="A15" s="19" t="s">
        <v>31</v>
      </c>
      <c r="B15" s="14" t="s">
        <v>32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6">
        <v>2.0</v>
      </c>
      <c r="N15" s="16">
        <v>2.0</v>
      </c>
      <c r="O15" s="16"/>
      <c r="P15" s="16"/>
      <c r="Q15" s="16"/>
      <c r="R15" s="16"/>
      <c r="S15" s="16"/>
      <c r="T15" s="17"/>
      <c r="U15" s="17">
        <f t="shared" si="3"/>
        <v>4</v>
      </c>
      <c r="V15" s="17">
        <f>SUM(HorasTotales!B14:R14)</f>
        <v>5</v>
      </c>
      <c r="W15" s="17">
        <f t="shared" si="2"/>
        <v>-1</v>
      </c>
    </row>
    <row r="16" ht="15.75" customHeight="1">
      <c r="A16" s="19" t="s">
        <v>33</v>
      </c>
      <c r="B16" s="14" t="s">
        <v>34</v>
      </c>
      <c r="C16" s="16"/>
      <c r="D16" s="16"/>
      <c r="E16" s="16"/>
      <c r="F16" s="16"/>
      <c r="G16" s="16"/>
      <c r="H16" s="17"/>
      <c r="I16" s="16">
        <v>4.0</v>
      </c>
      <c r="J16" s="16"/>
      <c r="K16" s="16"/>
      <c r="L16" s="16"/>
      <c r="M16" s="16"/>
      <c r="N16" s="16">
        <v>1.0</v>
      </c>
      <c r="O16" s="16">
        <v>1.0</v>
      </c>
      <c r="P16" s="16">
        <v>1.0</v>
      </c>
      <c r="Q16" s="16">
        <v>1.0</v>
      </c>
      <c r="R16" s="16"/>
      <c r="S16" s="16"/>
      <c r="T16" s="17"/>
      <c r="U16" s="17">
        <f t="shared" si="3"/>
        <v>8</v>
      </c>
      <c r="V16" s="17">
        <f>SUM(HorasTotales!B15:R15)</f>
        <v>9</v>
      </c>
      <c r="W16" s="17">
        <f t="shared" si="2"/>
        <v>-1</v>
      </c>
    </row>
    <row r="17" ht="15.75" customHeight="1">
      <c r="A17" s="20" t="s">
        <v>35</v>
      </c>
      <c r="B17" s="14" t="s">
        <v>36</v>
      </c>
      <c r="C17" s="17"/>
      <c r="D17" s="17"/>
      <c r="E17" s="17"/>
      <c r="F17" s="17"/>
      <c r="G17" s="16"/>
      <c r="H17" s="17"/>
      <c r="I17" s="17"/>
      <c r="J17" s="17"/>
      <c r="K17" s="16"/>
      <c r="L17" s="17"/>
      <c r="M17" s="16">
        <v>1.0</v>
      </c>
      <c r="N17" s="16">
        <v>1.0</v>
      </c>
      <c r="O17" s="16">
        <v>1.0</v>
      </c>
      <c r="P17" s="16">
        <v>1.0</v>
      </c>
      <c r="Q17" s="16"/>
      <c r="R17" s="16"/>
      <c r="S17" s="16"/>
      <c r="T17" s="17"/>
      <c r="U17" s="17">
        <f t="shared" ref="U17:U18" si="4">SUM(F17:S17)</f>
        <v>4</v>
      </c>
      <c r="V17" s="16">
        <f>SUM(HorasTotales!B16:R16)</f>
        <v>2</v>
      </c>
      <c r="W17" s="17">
        <f t="shared" si="2"/>
        <v>2</v>
      </c>
    </row>
    <row r="18" ht="15.75" customHeight="1">
      <c r="A18" s="21" t="s">
        <v>37</v>
      </c>
      <c r="B18" s="14" t="s">
        <v>38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6">
        <v>2.0</v>
      </c>
      <c r="Q18" s="16"/>
      <c r="R18" s="16"/>
      <c r="S18" s="16"/>
      <c r="T18" s="17"/>
      <c r="U18" s="17">
        <f t="shared" si="4"/>
        <v>2</v>
      </c>
      <c r="V18" s="16">
        <f>SUM(HorasTotales!B17:R17)</f>
        <v>2</v>
      </c>
      <c r="W18" s="17">
        <f t="shared" si="2"/>
        <v>0</v>
      </c>
    </row>
    <row r="19" ht="15.75" customHeight="1">
      <c r="A19" s="22"/>
      <c r="B19" s="23" t="s">
        <v>2</v>
      </c>
      <c r="C19" s="24">
        <f t="shared" ref="C19:Q19" si="5">SUM(C3:C16)</f>
        <v>0</v>
      </c>
      <c r="D19" s="24">
        <f t="shared" si="5"/>
        <v>3</v>
      </c>
      <c r="E19" s="24">
        <f t="shared" si="5"/>
        <v>2</v>
      </c>
      <c r="F19" s="24">
        <f t="shared" si="5"/>
        <v>1</v>
      </c>
      <c r="G19" s="24">
        <f t="shared" si="5"/>
        <v>2</v>
      </c>
      <c r="H19" s="24">
        <f t="shared" si="5"/>
        <v>3</v>
      </c>
      <c r="I19" s="24">
        <f t="shared" si="5"/>
        <v>11</v>
      </c>
      <c r="J19" s="24">
        <f t="shared" si="5"/>
        <v>2</v>
      </c>
      <c r="K19" s="24">
        <f t="shared" si="5"/>
        <v>2</v>
      </c>
      <c r="L19" s="24">
        <f t="shared" si="5"/>
        <v>7</v>
      </c>
      <c r="M19" s="24">
        <f t="shared" si="5"/>
        <v>6</v>
      </c>
      <c r="N19" s="24">
        <f t="shared" si="5"/>
        <v>11</v>
      </c>
      <c r="O19" s="24">
        <f t="shared" si="5"/>
        <v>10</v>
      </c>
      <c r="P19" s="24">
        <f t="shared" si="5"/>
        <v>5</v>
      </c>
      <c r="Q19" s="24">
        <f t="shared" si="5"/>
        <v>2</v>
      </c>
      <c r="R19" s="24">
        <f t="shared" ref="R19:S19" si="6">SUM(R3:R18)</f>
        <v>0</v>
      </c>
      <c r="S19" s="24">
        <f t="shared" si="6"/>
        <v>0</v>
      </c>
      <c r="T19" s="17"/>
      <c r="U19" s="11">
        <f t="shared" ref="U19:W19" si="7">SUM(U3:U18)</f>
        <v>71</v>
      </c>
      <c r="V19" s="11">
        <f t="shared" si="7"/>
        <v>88</v>
      </c>
      <c r="W19" s="11">
        <f t="shared" si="7"/>
        <v>-17</v>
      </c>
    </row>
    <row r="20" ht="15.75" customHeight="1">
      <c r="A20" s="2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ht="15.75" customHeight="1">
      <c r="A21" s="2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ht="15.75" customHeight="1">
      <c r="A22" s="2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15.75" customHeight="1">
      <c r="A23" s="22"/>
      <c r="B23" s="25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ht="15.75" customHeight="1">
      <c r="A24" s="2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ht="15.75" customHeight="1">
      <c r="A25" s="22"/>
      <c r="B25" s="25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15.75" customHeight="1">
      <c r="A26" s="22"/>
      <c r="B26" s="25"/>
      <c r="C26" s="27"/>
      <c r="D26" s="27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15.0" customHeight="1">
      <c r="A27" s="22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ht="15.75" customHeight="1">
      <c r="A28" s="2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ht="15.75" customHeight="1">
      <c r="A29" s="2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ht="15.75" customHeight="1">
      <c r="A30" s="2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ht="15.75" customHeight="1">
      <c r="A31" s="22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ht="15.75" customHeight="1">
      <c r="A32" s="22"/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ht="15.75" customHeight="1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ht="15.75" customHeight="1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ht="15.75" customHeight="1">
      <c r="A35" s="2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ht="15.75" customHeight="1">
      <c r="A36" s="2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ht="15.75" customHeight="1">
      <c r="A37" s="2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ht="15.75" customHeight="1">
      <c r="A38" s="22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ht="15.75" customHeight="1">
      <c r="A39" s="2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ht="15.75" customHeight="1">
      <c r="A40" s="2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ht="15.75" customHeight="1">
      <c r="A41" s="22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ht="15.75" customHeight="1">
      <c r="A42" s="2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ht="15.75" customHeight="1">
      <c r="A43" s="22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ht="15.75" customHeight="1">
      <c r="A44" s="22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ht="15.75" customHeight="1">
      <c r="A45" s="2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ht="15.75" customHeight="1">
      <c r="A46" s="2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ht="15.75" customHeight="1">
      <c r="A47" s="2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ht="15.75" customHeight="1">
      <c r="A48" s="22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ht="15.75" customHeight="1">
      <c r="A49" s="2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ht="15.75" customHeight="1">
      <c r="A50" s="22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ht="15.75" customHeight="1">
      <c r="A51" s="2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ht="15.75" customHeight="1">
      <c r="A52" s="22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ht="15.75" customHeight="1">
      <c r="A53" s="2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ht="15.75" customHeight="1">
      <c r="A54" s="22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ht="15.75" customHeight="1">
      <c r="A55" s="2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ht="15.75" customHeight="1">
      <c r="A56" s="2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ht="15.75" customHeight="1">
      <c r="A57" s="2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ht="15.75" customHeight="1">
      <c r="A58" s="2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ht="15.75" customHeight="1">
      <c r="A59" s="22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ht="15.75" customHeight="1">
      <c r="A60" s="22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ht="15.75" customHeight="1">
      <c r="A61" s="22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ht="15.75" customHeight="1">
      <c r="A62" s="22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ht="15.75" customHeight="1">
      <c r="A63" s="22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ht="15.75" customHeight="1">
      <c r="A64" s="22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ht="15.75" customHeight="1">
      <c r="A65" s="22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ht="15.75" customHeight="1">
      <c r="A66" s="22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ht="15.75" customHeight="1">
      <c r="A67" s="22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ht="15.75" customHeight="1">
      <c r="A68" s="22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ht="15.75" customHeight="1">
      <c r="A69" s="22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ht="15.75" customHeight="1">
      <c r="A70" s="22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ht="15.75" customHeight="1">
      <c r="A71" s="22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 ht="15.75" customHeight="1">
      <c r="A72" s="22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 ht="15.75" customHeight="1">
      <c r="A73" s="22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 ht="15.75" customHeight="1">
      <c r="A74" s="22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 ht="15.75" customHeight="1">
      <c r="A75" s="22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 ht="15.75" customHeight="1">
      <c r="A76" s="22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 ht="15.75" customHeight="1">
      <c r="A77" s="22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 ht="15.75" customHeight="1">
      <c r="A78" s="22"/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ht="15.75" customHeight="1">
      <c r="A79" s="22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ht="15.75" customHeight="1">
      <c r="A80" s="22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 ht="15.75" customHeight="1">
      <c r="A81" s="22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ht="15.75" customHeight="1">
      <c r="A82" s="22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ht="15.75" customHeight="1">
      <c r="A83" s="22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ht="15.75" customHeight="1">
      <c r="A84" s="22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 ht="15.75" customHeight="1">
      <c r="A85" s="22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ht="15.75" customHeight="1">
      <c r="A86" s="22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ht="15.75" customHeight="1">
      <c r="A87" s="22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 ht="15.75" customHeight="1">
      <c r="A88" s="22"/>
      <c r="B88" s="2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 ht="15.75" customHeight="1">
      <c r="A89" s="22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 ht="15.75" customHeight="1">
      <c r="A90" s="22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 ht="15.75" customHeight="1">
      <c r="A91" s="22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 ht="15.75" customHeight="1">
      <c r="A92" s="22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 ht="15.75" customHeight="1">
      <c r="A93" s="22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ht="15.75" customHeight="1">
      <c r="A94" s="22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ht="15.75" customHeight="1">
      <c r="A95" s="22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 ht="15.75" customHeight="1">
      <c r="A96" s="22"/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 ht="15.75" customHeight="1">
      <c r="A97" s="22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</row>
    <row r="98" ht="15.75" customHeight="1">
      <c r="A98" s="22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</row>
    <row r="99" ht="15.75" customHeight="1">
      <c r="A99" s="22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ht="15.75" customHeight="1">
      <c r="A100" s="22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 ht="15.75" customHeight="1">
      <c r="A101" s="22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</row>
    <row r="102" ht="15.75" customHeight="1">
      <c r="A102" s="22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5.75" customHeight="1">
      <c r="A103" s="22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</row>
    <row r="104" ht="15.75" customHeight="1">
      <c r="A104" s="22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 ht="15.75" customHeight="1">
      <c r="A105" s="22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</row>
    <row r="106" ht="15.75" customHeight="1">
      <c r="A106" s="22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</row>
    <row r="107" ht="15.75" customHeight="1">
      <c r="A107" s="22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ht="15.75" customHeight="1">
      <c r="A108" s="22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 ht="15.75" customHeight="1">
      <c r="A109" s="22"/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</row>
    <row r="110" ht="15.75" customHeight="1">
      <c r="A110" s="22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</row>
    <row r="111" ht="15.75" customHeight="1">
      <c r="A111" s="22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</row>
    <row r="112" ht="15.75" customHeight="1">
      <c r="A112" s="22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 ht="15.75" customHeight="1">
      <c r="A113" s="22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ht="15.75" customHeight="1">
      <c r="A114" s="22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 ht="15.75" customHeight="1">
      <c r="A115" s="22"/>
      <c r="B115" s="25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ht="15.75" customHeight="1">
      <c r="A116" s="22"/>
      <c r="B116" s="25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ht="15.75" customHeight="1">
      <c r="A117" s="22"/>
      <c r="B117" s="25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 ht="15.75" customHeight="1">
      <c r="A118" s="22"/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 ht="15.75" customHeight="1">
      <c r="A119" s="22"/>
      <c r="B119" s="25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 ht="15.75" customHeight="1">
      <c r="A120" s="22"/>
      <c r="B120" s="25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 ht="15.75" customHeight="1">
      <c r="A121" s="22"/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 ht="15.75" customHeight="1">
      <c r="A122" s="22"/>
      <c r="B122" s="2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 ht="15.75" customHeight="1">
      <c r="A123" s="22"/>
      <c r="B123" s="25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 ht="15.75" customHeight="1">
      <c r="A124" s="22"/>
      <c r="B124" s="25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 ht="15.75" customHeight="1">
      <c r="A125" s="22"/>
      <c r="B125" s="2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 ht="15.75" customHeight="1">
      <c r="A126" s="22"/>
      <c r="B126" s="25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 ht="15.75" customHeight="1">
      <c r="A127" s="22"/>
      <c r="B127" s="25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 ht="15.75" customHeight="1">
      <c r="A128" s="22"/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 ht="15.75" customHeight="1">
      <c r="A129" s="22"/>
      <c r="B129" s="25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 ht="15.75" customHeight="1">
      <c r="A130" s="22"/>
      <c r="B130" s="25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 ht="15.75" customHeight="1">
      <c r="A131" s="22"/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 ht="15.75" customHeight="1">
      <c r="A132" s="22"/>
      <c r="B132" s="25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ht="15.75" customHeight="1">
      <c r="A133" s="22"/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 ht="15.75" customHeight="1">
      <c r="A134" s="22"/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 ht="15.75" customHeight="1">
      <c r="A135" s="22"/>
      <c r="B135" s="25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 ht="15.75" customHeight="1">
      <c r="A136" s="22"/>
      <c r="B136" s="25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ht="15.75" customHeight="1">
      <c r="A137" s="22"/>
      <c r="B137" s="25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 ht="15.75" customHeight="1">
      <c r="A138" s="22"/>
      <c r="B138" s="25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 ht="15.75" customHeight="1">
      <c r="A139" s="22"/>
      <c r="B139" s="25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 ht="15.75" customHeight="1">
      <c r="A140" s="22"/>
      <c r="B140" s="25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 ht="15.75" customHeight="1">
      <c r="A141" s="22"/>
      <c r="B141" s="2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 ht="15.75" customHeight="1">
      <c r="A142" s="22"/>
      <c r="B142" s="25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 ht="15.75" customHeight="1">
      <c r="A143" s="22"/>
      <c r="B143" s="25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 ht="15.75" customHeight="1">
      <c r="A144" s="22"/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ht="15.75" customHeight="1">
      <c r="A145" s="22"/>
      <c r="B145" s="25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5.75" customHeight="1">
      <c r="A146" s="22"/>
      <c r="B146" s="25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ht="15.75" customHeight="1">
      <c r="A147" s="22"/>
      <c r="B147" s="25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 ht="15.75" customHeight="1">
      <c r="A148" s="22"/>
      <c r="B148" s="25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 ht="15.75" customHeight="1">
      <c r="A149" s="22"/>
      <c r="B149" s="25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ht="15.75" customHeight="1">
      <c r="A150" s="22"/>
      <c r="B150" s="2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 ht="15.75" customHeight="1">
      <c r="A151" s="22"/>
      <c r="B151" s="2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 ht="15.75" customHeight="1">
      <c r="A152" s="22"/>
      <c r="B152" s="2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 ht="15.75" customHeight="1">
      <c r="A153" s="22"/>
      <c r="B153" s="2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 ht="15.75" customHeight="1">
      <c r="A154" s="22"/>
      <c r="B154" s="2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 ht="15.75" customHeight="1">
      <c r="A155" s="22"/>
      <c r="B155" s="2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 ht="15.75" customHeight="1">
      <c r="A156" s="22"/>
      <c r="B156" s="2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 ht="15.75" customHeight="1">
      <c r="A157" s="22"/>
      <c r="B157" s="25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 ht="15.75" customHeight="1">
      <c r="A158" s="22"/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 ht="15.75" customHeight="1">
      <c r="A159" s="22"/>
      <c r="B159" s="25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 ht="15.75" customHeight="1">
      <c r="A160" s="22"/>
      <c r="B160" s="2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 ht="15.75" customHeight="1">
      <c r="A161" s="22"/>
      <c r="B161" s="2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 ht="15.75" customHeight="1">
      <c r="A162" s="22"/>
      <c r="B162" s="2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ht="15.75" customHeight="1">
      <c r="A163" s="22"/>
      <c r="B163" s="2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 ht="15.75" customHeight="1">
      <c r="A164" s="22"/>
      <c r="B164" s="25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 ht="15.75" customHeight="1">
      <c r="A165" s="22"/>
      <c r="B165" s="25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 ht="15.75" customHeight="1">
      <c r="A166" s="22"/>
      <c r="B166" s="25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 ht="15.75" customHeight="1">
      <c r="A167" s="22"/>
      <c r="B167" s="25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 ht="15.75" customHeight="1">
      <c r="A168" s="22"/>
      <c r="B168" s="25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 ht="15.75" customHeight="1">
      <c r="A169" s="22"/>
      <c r="B169" s="25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 ht="15.75" customHeight="1">
      <c r="A170" s="22"/>
      <c r="B170" s="25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 ht="15.75" customHeight="1">
      <c r="A171" s="22"/>
      <c r="B171" s="25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ht="15.75" customHeight="1">
      <c r="A172" s="22"/>
      <c r="B172" s="25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 ht="15.75" customHeight="1">
      <c r="A173" s="22"/>
      <c r="B173" s="25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 ht="15.75" customHeight="1">
      <c r="A174" s="22"/>
      <c r="B174" s="25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 ht="15.75" customHeight="1">
      <c r="A175" s="22"/>
      <c r="B175" s="25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 ht="15.75" customHeight="1">
      <c r="A176" s="22"/>
      <c r="B176" s="25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 ht="15.75" customHeight="1">
      <c r="A177" s="22"/>
      <c r="B177" s="25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 ht="15.75" customHeight="1">
      <c r="A178" s="22"/>
      <c r="B178" s="25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 ht="15.75" customHeight="1">
      <c r="A179" s="22"/>
      <c r="B179" s="25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 ht="15.75" customHeight="1">
      <c r="A180" s="22"/>
      <c r="B180" s="25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 ht="15.75" customHeight="1">
      <c r="A181" s="22"/>
      <c r="B181" s="25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 ht="15.75" customHeight="1">
      <c r="A182" s="22"/>
      <c r="B182" s="25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 ht="15.75" customHeight="1">
      <c r="A183" s="22"/>
      <c r="B183" s="2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 ht="15.75" customHeight="1">
      <c r="A184" s="22"/>
      <c r="B184" s="2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ht="15.75" customHeight="1">
      <c r="A185" s="22"/>
      <c r="B185" s="2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 ht="15.75" customHeight="1">
      <c r="A186" s="22"/>
      <c r="B186" s="2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 ht="15.75" customHeight="1">
      <c r="A187" s="22"/>
      <c r="B187" s="2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 ht="15.75" customHeight="1">
      <c r="A188" s="22"/>
      <c r="B188" s="2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 ht="15.75" customHeight="1">
      <c r="A189" s="22"/>
      <c r="B189" s="2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 ht="15.75" customHeight="1">
      <c r="A190" s="22"/>
      <c r="B190" s="2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 ht="15.75" customHeight="1">
      <c r="A191" s="22"/>
      <c r="B191" s="2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 ht="15.75" customHeight="1">
      <c r="A192" s="22"/>
      <c r="B192" s="2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 ht="15.75" customHeight="1">
      <c r="A193" s="22"/>
      <c r="B193" s="2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 ht="15.75" customHeight="1">
      <c r="A194" s="22"/>
      <c r="B194" s="2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 ht="15.75" customHeight="1">
      <c r="A195" s="22"/>
      <c r="B195" s="2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 ht="15.75" customHeight="1">
      <c r="A196" s="22"/>
      <c r="B196" s="2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 ht="15.75" customHeight="1">
      <c r="A197" s="22"/>
      <c r="B197" s="2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 ht="15.75" customHeight="1">
      <c r="A198" s="22"/>
      <c r="B198" s="2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 ht="15.75" customHeight="1">
      <c r="A199" s="22"/>
      <c r="B199" s="2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 ht="15.75" customHeight="1">
      <c r="A200" s="22"/>
      <c r="B200" s="2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 ht="15.75" customHeight="1">
      <c r="A201" s="22"/>
      <c r="B201" s="2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 ht="15.75" customHeight="1">
      <c r="A202" s="22"/>
      <c r="B202" s="25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 ht="15.75" customHeight="1">
      <c r="A203" s="22"/>
      <c r="B203" s="25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 ht="15.75" customHeight="1">
      <c r="A204" s="22"/>
      <c r="B204" s="25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 ht="15.75" customHeight="1">
      <c r="A205" s="22"/>
      <c r="B205" s="2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 ht="15.75" customHeight="1">
      <c r="A206" s="22"/>
      <c r="B206" s="2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 ht="15.75" customHeight="1">
      <c r="A207" s="22"/>
      <c r="B207" s="2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 ht="15.75" customHeight="1">
      <c r="A208" s="22"/>
      <c r="B208" s="25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 ht="15.75" customHeight="1">
      <c r="A209" s="22"/>
      <c r="B209" s="25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 ht="15.75" customHeight="1">
      <c r="A210" s="22"/>
      <c r="B210" s="25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 ht="15.75" customHeight="1">
      <c r="A211" s="22"/>
      <c r="B211" s="25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ht="15.75" customHeight="1">
      <c r="A212" s="22"/>
      <c r="B212" s="25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 ht="15.75" customHeight="1">
      <c r="A213" s="22"/>
      <c r="B213" s="25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 ht="15.75" customHeight="1">
      <c r="A214" s="22"/>
      <c r="B214" s="25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 ht="15.75" customHeight="1">
      <c r="A215" s="22"/>
      <c r="B215" s="25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 ht="15.75" customHeight="1">
      <c r="A216" s="22"/>
      <c r="B216" s="25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 ht="15.75" customHeight="1">
      <c r="A217" s="22"/>
      <c r="B217" s="25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 ht="15.75" customHeight="1">
      <c r="A218" s="22"/>
      <c r="B218" s="25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ht="15.75" customHeight="1">
      <c r="A219" s="22"/>
      <c r="B219" s="25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 ht="15.75" customHeight="1">
      <c r="A220" s="22"/>
      <c r="B220" s="25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 ht="15.75" customHeight="1">
      <c r="A221" s="22"/>
      <c r="B221" s="25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 ht="15.75" customHeight="1">
      <c r="A222" s="22"/>
      <c r="B222" s="25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 ht="15.75" customHeight="1">
      <c r="A223" s="22"/>
      <c r="B223" s="25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 ht="15.75" customHeight="1">
      <c r="A224" s="22"/>
      <c r="B224" s="25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 ht="15.75" customHeight="1">
      <c r="A225" s="22"/>
      <c r="B225" s="25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 ht="15.75" customHeight="1">
      <c r="A226" s="22"/>
      <c r="B226" s="25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 ht="15.75" customHeight="1">
      <c r="A227" s="22"/>
      <c r="B227" s="2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 ht="15.75" customHeight="1">
      <c r="A228" s="22"/>
      <c r="B228" s="2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 ht="15.75" customHeight="1">
      <c r="A229" s="22"/>
      <c r="B229" s="2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ht="15.75" customHeight="1">
      <c r="A230" s="22"/>
      <c r="B230" s="2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 ht="15.75" customHeight="1">
      <c r="A231" s="22"/>
      <c r="B231" s="2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 ht="15.75" customHeight="1">
      <c r="A232" s="22"/>
      <c r="B232" s="2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 ht="15.75" customHeight="1">
      <c r="A233" s="22"/>
      <c r="B233" s="2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 ht="15.75" customHeight="1">
      <c r="A234" s="22"/>
      <c r="B234" s="2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 ht="15.75" customHeight="1">
      <c r="A235" s="22"/>
      <c r="B235" s="2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 ht="15.75" customHeight="1">
      <c r="A236" s="22"/>
      <c r="B236" s="2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</row>
    <row r="237" ht="15.75" customHeight="1">
      <c r="A237" s="22"/>
      <c r="B237" s="2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</row>
    <row r="238" ht="15.75" customHeight="1">
      <c r="A238" s="22"/>
      <c r="B238" s="2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</row>
    <row r="239" ht="15.75" customHeight="1">
      <c r="A239" s="22"/>
      <c r="B239" s="25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</row>
    <row r="240" ht="15.75" customHeight="1">
      <c r="A240" s="22"/>
      <c r="B240" s="25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</row>
    <row r="241" ht="15.75" customHeight="1">
      <c r="A241" s="22"/>
      <c r="B241" s="25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</row>
    <row r="242" ht="15.75" customHeight="1">
      <c r="A242" s="22"/>
      <c r="B242" s="25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</row>
    <row r="243" ht="15.75" customHeight="1">
      <c r="A243" s="22"/>
      <c r="B243" s="25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</row>
    <row r="244" ht="15.75" customHeight="1">
      <c r="A244" s="22"/>
      <c r="B244" s="25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</row>
    <row r="245" ht="15.75" customHeight="1">
      <c r="A245" s="22"/>
      <c r="B245" s="25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</row>
    <row r="246" ht="15.75" customHeight="1">
      <c r="A246" s="22"/>
      <c r="B246" s="25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</row>
    <row r="247" ht="15.75" customHeight="1">
      <c r="A247" s="22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 ht="15.75" customHeight="1">
      <c r="A248" s="22"/>
      <c r="B248" s="25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</row>
    <row r="249" ht="15.75" customHeight="1">
      <c r="A249" s="22"/>
      <c r="B249" s="25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</row>
    <row r="250" ht="15.75" customHeight="1">
      <c r="A250" s="22"/>
      <c r="B250" s="25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 ht="15.75" customHeight="1">
      <c r="A251" s="22"/>
      <c r="B251" s="25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</row>
    <row r="252" ht="15.75" customHeight="1">
      <c r="A252" s="22"/>
      <c r="B252" s="25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 ht="15.75" customHeight="1">
      <c r="A253" s="22"/>
      <c r="B253" s="2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</row>
    <row r="254" ht="15.75" customHeight="1">
      <c r="A254" s="22"/>
      <c r="B254" s="2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</row>
    <row r="255" ht="15.75" customHeight="1">
      <c r="A255" s="22"/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</row>
    <row r="256" ht="15.75" customHeight="1">
      <c r="A256" s="22"/>
      <c r="B256" s="2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</row>
    <row r="257" ht="15.75" customHeight="1">
      <c r="A257" s="22"/>
      <c r="B257" s="2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</row>
    <row r="258" ht="15.75" customHeight="1">
      <c r="A258" s="22"/>
      <c r="B258" s="2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</row>
    <row r="259" ht="15.75" customHeight="1">
      <c r="A259" s="22"/>
      <c r="B259" s="2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 ht="15.75" customHeight="1">
      <c r="A260" s="22"/>
      <c r="B260" s="2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</row>
    <row r="261" ht="15.75" customHeight="1">
      <c r="A261" s="22"/>
      <c r="B261" s="2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</row>
    <row r="262" ht="15.75" customHeight="1">
      <c r="A262" s="22"/>
      <c r="B262" s="2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</row>
    <row r="263" ht="15.75" customHeight="1">
      <c r="A263" s="22"/>
      <c r="B263" s="2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</row>
    <row r="264" ht="15.75" customHeight="1">
      <c r="A264" s="22"/>
      <c r="B264" s="2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 ht="15.75" customHeight="1">
      <c r="A265" s="22"/>
      <c r="B265" s="2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</row>
    <row r="266" ht="15.75" customHeight="1">
      <c r="A266" s="22"/>
      <c r="B266" s="2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</row>
    <row r="267" ht="15.75" customHeight="1">
      <c r="A267" s="22"/>
      <c r="B267" s="2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</row>
    <row r="268" ht="15.75" customHeight="1">
      <c r="A268" s="22"/>
      <c r="B268" s="2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</row>
    <row r="269" ht="15.75" customHeight="1">
      <c r="A269" s="22"/>
      <c r="B269" s="2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</row>
    <row r="270" ht="15.75" customHeight="1">
      <c r="A270" s="22"/>
      <c r="B270" s="2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</row>
    <row r="271" ht="15.75" customHeight="1">
      <c r="A271" s="22"/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</row>
    <row r="272" ht="15.75" customHeight="1">
      <c r="A272" s="22"/>
      <c r="B272" s="2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</row>
    <row r="273" ht="15.75" customHeight="1">
      <c r="A273" s="22"/>
      <c r="B273" s="2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</row>
    <row r="274" ht="15.75" customHeight="1">
      <c r="A274" s="22"/>
      <c r="B274" s="2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</row>
    <row r="275" ht="15.75" customHeight="1">
      <c r="A275" s="22"/>
      <c r="B275" s="2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</row>
    <row r="276" ht="15.75" customHeight="1">
      <c r="A276" s="22"/>
      <c r="B276" s="2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</row>
    <row r="277" ht="15.75" customHeight="1">
      <c r="A277" s="22"/>
      <c r="B277" s="2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</row>
    <row r="278" ht="15.75" customHeight="1">
      <c r="A278" s="22"/>
      <c r="B278" s="2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</row>
    <row r="279" ht="15.75" customHeight="1">
      <c r="A279" s="22"/>
      <c r="B279" s="2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 ht="15.75" customHeight="1">
      <c r="A280" s="22"/>
      <c r="B280" s="2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</row>
    <row r="281" ht="15.75" customHeight="1">
      <c r="A281" s="22"/>
      <c r="B281" s="2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</row>
    <row r="282" ht="15.75" customHeight="1">
      <c r="A282" s="22"/>
      <c r="B282" s="2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</row>
    <row r="283" ht="15.75" customHeight="1">
      <c r="A283" s="22"/>
      <c r="B283" s="2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</row>
    <row r="284" ht="15.75" customHeight="1">
      <c r="A284" s="22"/>
      <c r="B284" s="2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</row>
    <row r="285" ht="15.75" customHeight="1">
      <c r="A285" s="22"/>
      <c r="B285" s="25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</row>
    <row r="286" ht="15.75" customHeight="1">
      <c r="A286" s="22"/>
      <c r="B286" s="25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</row>
    <row r="287" ht="15.75" customHeight="1">
      <c r="A287" s="22"/>
      <c r="B287" s="25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</row>
    <row r="288" ht="15.75" customHeight="1">
      <c r="A288" s="22"/>
      <c r="B288" s="25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</row>
    <row r="289" ht="15.75" customHeight="1">
      <c r="A289" s="22"/>
      <c r="B289" s="25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</row>
    <row r="290" ht="15.75" customHeight="1">
      <c r="A290" s="22"/>
      <c r="B290" s="25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</row>
    <row r="291" ht="15.75" customHeight="1">
      <c r="A291" s="22"/>
      <c r="B291" s="25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</row>
    <row r="292" ht="15.75" customHeight="1">
      <c r="A292" s="22"/>
      <c r="B292" s="25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</row>
    <row r="293" ht="15.75" customHeight="1">
      <c r="A293" s="22"/>
      <c r="B293" s="25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</row>
    <row r="294" ht="15.75" customHeight="1">
      <c r="A294" s="22"/>
      <c r="B294" s="25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</row>
    <row r="295" ht="15.75" customHeight="1">
      <c r="A295" s="22"/>
      <c r="B295" s="25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</row>
    <row r="296" ht="15.75" customHeight="1">
      <c r="A296" s="22"/>
      <c r="B296" s="25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</row>
    <row r="297" ht="15.75" customHeight="1">
      <c r="A297" s="22"/>
      <c r="B297" s="25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</row>
    <row r="298" ht="15.75" customHeight="1">
      <c r="A298" s="22"/>
      <c r="B298" s="25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</row>
    <row r="299" ht="15.75" customHeight="1">
      <c r="A299" s="22"/>
      <c r="B299" s="25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</row>
    <row r="300" ht="15.75" customHeight="1">
      <c r="A300" s="22"/>
      <c r="B300" s="2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</row>
    <row r="301" ht="15.75" customHeight="1">
      <c r="A301" s="22"/>
      <c r="B301" s="2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</row>
    <row r="302" ht="15.75" customHeight="1">
      <c r="A302" s="22"/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</row>
    <row r="303" ht="15.75" customHeight="1">
      <c r="A303" s="22"/>
      <c r="B303" s="2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</row>
    <row r="304" ht="15.75" customHeight="1">
      <c r="A304" s="22"/>
      <c r="B304" s="2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</row>
    <row r="305" ht="15.75" customHeight="1">
      <c r="A305" s="22"/>
      <c r="B305" s="2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</row>
    <row r="306" ht="15.75" customHeight="1">
      <c r="A306" s="22"/>
      <c r="B306" s="2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</row>
    <row r="307" ht="15.75" customHeight="1">
      <c r="A307" s="22"/>
      <c r="B307" s="2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</row>
    <row r="308" ht="15.75" customHeight="1">
      <c r="A308" s="22"/>
      <c r="B308" s="2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</row>
    <row r="309" ht="15.75" customHeight="1">
      <c r="A309" s="22"/>
      <c r="B309" s="2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</row>
    <row r="310" ht="15.75" customHeight="1">
      <c r="A310" s="22"/>
      <c r="B310" s="2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</row>
    <row r="311" ht="15.75" customHeight="1">
      <c r="A311" s="22"/>
      <c r="B311" s="25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</row>
    <row r="312" ht="15.75" customHeight="1">
      <c r="A312" s="22"/>
      <c r="B312" s="25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</row>
    <row r="313" ht="15.75" customHeight="1">
      <c r="A313" s="22"/>
      <c r="B313" s="25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</row>
    <row r="314" ht="15.75" customHeight="1">
      <c r="A314" s="22"/>
      <c r="B314" s="2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</row>
    <row r="315" ht="15.75" customHeight="1">
      <c r="A315" s="22"/>
      <c r="B315" s="2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</row>
    <row r="316" ht="15.75" customHeight="1">
      <c r="A316" s="22"/>
      <c r="B316" s="2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</row>
    <row r="317" ht="15.75" customHeight="1">
      <c r="A317" s="22"/>
      <c r="B317" s="2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 ht="15.75" customHeight="1">
      <c r="A318" s="22"/>
      <c r="B318" s="2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</row>
    <row r="319" ht="15.75" customHeight="1">
      <c r="A319" s="22"/>
      <c r="B319" s="2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</row>
    <row r="320" ht="15.75" customHeight="1">
      <c r="A320" s="22"/>
      <c r="B320" s="2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</row>
    <row r="321" ht="15.75" customHeight="1">
      <c r="A321" s="22"/>
      <c r="B321" s="2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</row>
    <row r="322" ht="15.75" customHeight="1">
      <c r="A322" s="22"/>
      <c r="B322" s="2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</row>
    <row r="323" ht="15.75" customHeight="1">
      <c r="A323" s="22"/>
      <c r="B323" s="2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</row>
    <row r="324" ht="15.75" customHeight="1">
      <c r="A324" s="22"/>
      <c r="B324" s="2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</row>
    <row r="325" ht="15.75" customHeight="1">
      <c r="A325" s="22"/>
      <c r="B325" s="2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</row>
    <row r="326" ht="15.75" customHeight="1">
      <c r="A326" s="22"/>
      <c r="B326" s="25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</row>
    <row r="327" ht="15.75" customHeight="1">
      <c r="A327" s="22"/>
      <c r="B327" s="25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</row>
    <row r="328" ht="15.75" customHeight="1">
      <c r="A328" s="22"/>
      <c r="B328" s="25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</row>
    <row r="329" ht="15.75" customHeight="1">
      <c r="A329" s="22"/>
      <c r="B329" s="25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</row>
    <row r="330" ht="15.75" customHeight="1">
      <c r="A330" s="22"/>
      <c r="B330" s="25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</row>
    <row r="331" ht="15.75" customHeight="1">
      <c r="A331" s="22"/>
      <c r="B331" s="25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</row>
    <row r="332" ht="15.75" customHeight="1">
      <c r="A332" s="22"/>
      <c r="B332" s="25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</row>
    <row r="333" ht="15.75" customHeight="1">
      <c r="A333" s="22"/>
      <c r="B333" s="25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</row>
    <row r="334" ht="15.75" customHeight="1">
      <c r="A334" s="22"/>
      <c r="B334" s="25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</row>
    <row r="335" ht="15.75" customHeight="1">
      <c r="A335" s="22"/>
      <c r="B335" s="25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</row>
    <row r="336" ht="15.75" customHeight="1">
      <c r="A336" s="22"/>
      <c r="B336" s="25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</row>
    <row r="337" ht="15.75" customHeight="1">
      <c r="A337" s="22"/>
      <c r="B337" s="25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</row>
    <row r="338" ht="15.75" customHeight="1">
      <c r="A338" s="22"/>
      <c r="B338" s="25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</row>
    <row r="339" ht="15.75" customHeight="1">
      <c r="A339" s="22"/>
      <c r="B339" s="25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</row>
    <row r="340" ht="15.75" customHeight="1">
      <c r="A340" s="22"/>
      <c r="B340" s="25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</row>
    <row r="341" ht="15.75" customHeight="1">
      <c r="A341" s="22"/>
      <c r="B341" s="25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</row>
    <row r="342" ht="15.75" customHeight="1">
      <c r="A342" s="22"/>
      <c r="B342" s="25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</row>
    <row r="343" ht="15.75" customHeight="1">
      <c r="A343" s="22"/>
      <c r="B343" s="25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</row>
    <row r="344" ht="15.75" customHeight="1">
      <c r="A344" s="22"/>
      <c r="B344" s="25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</row>
    <row r="345" ht="15.75" customHeight="1">
      <c r="A345" s="22"/>
      <c r="B345" s="25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</row>
    <row r="346" ht="15.75" customHeight="1">
      <c r="A346" s="22"/>
      <c r="B346" s="25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</row>
    <row r="347" ht="15.75" customHeight="1">
      <c r="A347" s="22"/>
      <c r="B347" s="25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</row>
    <row r="348" ht="15.75" customHeight="1">
      <c r="A348" s="22"/>
      <c r="B348" s="25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</row>
    <row r="349" ht="15.75" customHeight="1">
      <c r="A349" s="22"/>
      <c r="B349" s="25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</row>
    <row r="350" ht="15.75" customHeight="1">
      <c r="A350" s="22"/>
      <c r="B350" s="25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</row>
    <row r="351" ht="15.75" customHeight="1">
      <c r="A351" s="22"/>
      <c r="B351" s="25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</row>
    <row r="352" ht="15.75" customHeight="1">
      <c r="A352" s="22"/>
      <c r="B352" s="25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</row>
    <row r="353" ht="15.75" customHeight="1">
      <c r="A353" s="22"/>
      <c r="B353" s="25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</row>
    <row r="354" ht="15.75" customHeight="1">
      <c r="A354" s="22"/>
      <c r="B354" s="25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</row>
    <row r="355" ht="15.75" customHeight="1">
      <c r="A355" s="22"/>
      <c r="B355" s="25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</row>
    <row r="356" ht="15.75" customHeight="1">
      <c r="A356" s="22"/>
      <c r="B356" s="25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</row>
    <row r="357" ht="15.75" customHeight="1">
      <c r="A357" s="22"/>
      <c r="B357" s="25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</row>
    <row r="358" ht="15.75" customHeight="1">
      <c r="A358" s="22"/>
      <c r="B358" s="25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</row>
    <row r="359" ht="15.75" customHeight="1">
      <c r="A359" s="22"/>
      <c r="B359" s="25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</row>
    <row r="360" ht="15.75" customHeight="1">
      <c r="A360" s="22"/>
      <c r="B360" s="25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</row>
    <row r="361" ht="15.75" customHeight="1">
      <c r="A361" s="22"/>
      <c r="B361" s="25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</row>
    <row r="362" ht="15.75" customHeight="1">
      <c r="A362" s="22"/>
      <c r="B362" s="25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</row>
    <row r="363" ht="15.75" customHeight="1">
      <c r="A363" s="22"/>
      <c r="B363" s="25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</row>
    <row r="364" ht="15.75" customHeight="1">
      <c r="A364" s="22"/>
      <c r="B364" s="25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</row>
    <row r="365" ht="15.75" customHeight="1">
      <c r="A365" s="22"/>
      <c r="B365" s="25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</row>
    <row r="366" ht="15.75" customHeight="1">
      <c r="A366" s="22"/>
      <c r="B366" s="25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</row>
    <row r="367" ht="15.75" customHeight="1">
      <c r="A367" s="22"/>
      <c r="B367" s="25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</row>
    <row r="368" ht="15.75" customHeight="1">
      <c r="A368" s="22"/>
      <c r="B368" s="25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</row>
    <row r="369" ht="15.75" customHeight="1">
      <c r="A369" s="22"/>
      <c r="B369" s="25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</row>
    <row r="370" ht="15.75" customHeight="1">
      <c r="A370" s="22"/>
      <c r="B370" s="25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</row>
    <row r="371" ht="15.75" customHeight="1">
      <c r="A371" s="22"/>
      <c r="B371" s="25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</row>
    <row r="372" ht="15.75" customHeight="1">
      <c r="A372" s="22"/>
      <c r="B372" s="25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</row>
    <row r="373" ht="15.75" customHeight="1">
      <c r="A373" s="22"/>
      <c r="B373" s="25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</row>
    <row r="374" ht="15.75" customHeight="1">
      <c r="A374" s="22"/>
      <c r="B374" s="25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</row>
    <row r="375" ht="15.75" customHeight="1">
      <c r="A375" s="22"/>
      <c r="B375" s="25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</row>
    <row r="376" ht="15.75" customHeight="1">
      <c r="A376" s="22"/>
      <c r="B376" s="25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</row>
    <row r="377" ht="15.75" customHeight="1">
      <c r="A377" s="22"/>
      <c r="B377" s="25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</row>
    <row r="378" ht="15.75" customHeight="1">
      <c r="A378" s="22"/>
      <c r="B378" s="25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</row>
    <row r="379" ht="15.75" customHeight="1">
      <c r="A379" s="22"/>
      <c r="B379" s="25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</row>
    <row r="380" ht="15.75" customHeight="1">
      <c r="A380" s="22"/>
      <c r="B380" s="25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</row>
    <row r="381" ht="15.75" customHeight="1">
      <c r="A381" s="22"/>
      <c r="B381" s="25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</row>
    <row r="382" ht="15.75" customHeight="1">
      <c r="A382" s="22"/>
      <c r="B382" s="25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</row>
    <row r="383" ht="15.75" customHeight="1">
      <c r="A383" s="22"/>
      <c r="B383" s="25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</row>
    <row r="384" ht="15.75" customHeight="1">
      <c r="A384" s="22"/>
      <c r="B384" s="25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</row>
    <row r="385" ht="15.75" customHeight="1">
      <c r="A385" s="22"/>
      <c r="B385" s="25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 ht="15.75" customHeight="1">
      <c r="A386" s="22"/>
      <c r="B386" s="25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</row>
    <row r="387" ht="15.75" customHeight="1">
      <c r="A387" s="22"/>
      <c r="B387" s="25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</row>
    <row r="388" ht="15.75" customHeight="1">
      <c r="A388" s="22"/>
      <c r="B388" s="25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</row>
    <row r="389" ht="15.75" customHeight="1">
      <c r="A389" s="22"/>
      <c r="B389" s="25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</row>
    <row r="390" ht="15.75" customHeight="1">
      <c r="A390" s="22"/>
      <c r="B390" s="25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</row>
    <row r="391" ht="15.75" customHeight="1">
      <c r="A391" s="22"/>
      <c r="B391" s="25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</row>
    <row r="392" ht="15.75" customHeight="1">
      <c r="A392" s="22"/>
      <c r="B392" s="25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</row>
    <row r="393" ht="15.75" customHeight="1">
      <c r="A393" s="22"/>
      <c r="B393" s="25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</row>
    <row r="394" ht="15.75" customHeight="1">
      <c r="A394" s="22"/>
      <c r="B394" s="25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</row>
    <row r="395" ht="15.75" customHeight="1">
      <c r="A395" s="22"/>
      <c r="B395" s="25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</row>
    <row r="396" ht="15.75" customHeight="1">
      <c r="A396" s="22"/>
      <c r="B396" s="25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</row>
    <row r="397" ht="15.75" customHeight="1">
      <c r="A397" s="22"/>
      <c r="B397" s="25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</row>
    <row r="398" ht="15.75" customHeight="1">
      <c r="A398" s="22"/>
      <c r="B398" s="25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</row>
    <row r="399" ht="15.75" customHeight="1">
      <c r="A399" s="22"/>
      <c r="B399" s="25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</row>
    <row r="400" ht="15.75" customHeight="1">
      <c r="A400" s="22"/>
      <c r="B400" s="25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</row>
    <row r="401" ht="15.75" customHeight="1">
      <c r="A401" s="22"/>
      <c r="B401" s="25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</row>
    <row r="402" ht="15.75" customHeight="1">
      <c r="A402" s="22"/>
      <c r="B402" s="25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</row>
    <row r="403" ht="15.75" customHeight="1">
      <c r="A403" s="22"/>
      <c r="B403" s="25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</row>
    <row r="404" ht="15.75" customHeight="1">
      <c r="A404" s="22"/>
      <c r="B404" s="25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</row>
    <row r="405" ht="15.75" customHeight="1">
      <c r="A405" s="22"/>
      <c r="B405" s="25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</row>
    <row r="406" ht="15.75" customHeight="1">
      <c r="A406" s="22"/>
      <c r="B406" s="25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</row>
    <row r="407" ht="15.75" customHeight="1">
      <c r="A407" s="22"/>
      <c r="B407" s="25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</row>
    <row r="408" ht="15.75" customHeight="1">
      <c r="A408" s="22"/>
      <c r="B408" s="25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</row>
    <row r="409" ht="15.75" customHeight="1">
      <c r="A409" s="22"/>
      <c r="B409" s="25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</row>
    <row r="410" ht="15.75" customHeight="1">
      <c r="A410" s="22"/>
      <c r="B410" s="25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</row>
    <row r="411" ht="15.75" customHeight="1">
      <c r="A411" s="22"/>
      <c r="B411" s="25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</row>
    <row r="412" ht="15.75" customHeight="1">
      <c r="A412" s="22"/>
      <c r="B412" s="25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</row>
    <row r="413" ht="15.75" customHeight="1">
      <c r="A413" s="22"/>
      <c r="B413" s="25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</row>
    <row r="414" ht="15.75" customHeight="1">
      <c r="A414" s="22"/>
      <c r="B414" s="25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</row>
    <row r="415" ht="15.75" customHeight="1">
      <c r="A415" s="22"/>
      <c r="B415" s="25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</row>
    <row r="416" ht="15.75" customHeight="1">
      <c r="A416" s="22"/>
      <c r="B416" s="25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</row>
    <row r="417" ht="15.75" customHeight="1">
      <c r="A417" s="22"/>
      <c r="B417" s="25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</row>
    <row r="418" ht="15.75" customHeight="1">
      <c r="A418" s="22"/>
      <c r="B418" s="25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</row>
    <row r="419" ht="15.75" customHeight="1">
      <c r="A419" s="22"/>
      <c r="B419" s="25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</row>
    <row r="420" ht="15.75" customHeight="1">
      <c r="A420" s="22"/>
      <c r="B420" s="25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</row>
    <row r="421" ht="15.75" customHeight="1">
      <c r="A421" s="22"/>
      <c r="B421" s="25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</row>
    <row r="422" ht="15.75" customHeight="1">
      <c r="A422" s="22"/>
      <c r="B422" s="25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</row>
    <row r="423" ht="15.75" customHeight="1">
      <c r="A423" s="22"/>
      <c r="B423" s="25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</row>
    <row r="424" ht="15.75" customHeight="1">
      <c r="A424" s="22"/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</row>
    <row r="425" ht="15.75" customHeight="1">
      <c r="A425" s="22"/>
      <c r="B425" s="25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</row>
    <row r="426" ht="15.75" customHeight="1">
      <c r="A426" s="22"/>
      <c r="B426" s="25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</row>
    <row r="427" ht="15.75" customHeight="1">
      <c r="A427" s="22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</row>
    <row r="428" ht="15.75" customHeight="1">
      <c r="A428" s="22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</row>
    <row r="429" ht="15.75" customHeight="1">
      <c r="A429" s="22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</row>
    <row r="430" ht="15.75" customHeight="1">
      <c r="A430" s="22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</row>
    <row r="431" ht="15.75" customHeight="1">
      <c r="A431" s="22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</row>
    <row r="432" ht="15.75" customHeight="1">
      <c r="A432" s="22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</row>
    <row r="433" ht="15.75" customHeight="1">
      <c r="A433" s="22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</row>
    <row r="434" ht="15.75" customHeight="1">
      <c r="A434" s="22"/>
      <c r="B434" s="25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</row>
    <row r="435" ht="15.75" customHeight="1">
      <c r="A435" s="22"/>
      <c r="B435" s="25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</row>
    <row r="436" ht="15.75" customHeight="1">
      <c r="A436" s="22"/>
      <c r="B436" s="25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</row>
    <row r="437" ht="15.75" customHeight="1">
      <c r="A437" s="22"/>
      <c r="B437" s="25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</row>
    <row r="438" ht="15.75" customHeight="1">
      <c r="A438" s="22"/>
      <c r="B438" s="25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</row>
    <row r="439" ht="15.75" customHeight="1">
      <c r="A439" s="22"/>
      <c r="B439" s="25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</row>
    <row r="440" ht="15.75" customHeight="1">
      <c r="A440" s="22"/>
      <c r="B440" s="25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</row>
    <row r="441" ht="15.75" customHeight="1">
      <c r="A441" s="22"/>
      <c r="B441" s="25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42" ht="15.75" customHeight="1">
      <c r="A442" s="22"/>
      <c r="B442" s="25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</row>
    <row r="443" ht="15.75" customHeight="1">
      <c r="A443" s="22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</row>
    <row r="444" ht="15.75" customHeight="1">
      <c r="A444" s="22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</row>
    <row r="445" ht="15.75" customHeight="1">
      <c r="A445" s="22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</row>
    <row r="446" ht="15.75" customHeight="1">
      <c r="A446" s="22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</row>
    <row r="447" ht="15.75" customHeight="1">
      <c r="A447" s="22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</row>
    <row r="448" ht="15.75" customHeight="1">
      <c r="A448" s="22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</row>
    <row r="449" ht="15.75" customHeight="1">
      <c r="A449" s="22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</row>
    <row r="450" ht="15.75" customHeight="1">
      <c r="A450" s="22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</row>
    <row r="451" ht="15.75" customHeight="1">
      <c r="A451" s="22"/>
      <c r="B451" s="25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</row>
    <row r="452" ht="15.75" customHeight="1">
      <c r="A452" s="22"/>
      <c r="B452" s="25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</row>
    <row r="453" ht="15.75" customHeight="1">
      <c r="A453" s="22"/>
      <c r="B453" s="25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</row>
    <row r="454" ht="15.75" customHeight="1">
      <c r="A454" s="22"/>
      <c r="B454" s="25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</row>
    <row r="455" ht="15.75" customHeight="1">
      <c r="A455" s="22"/>
      <c r="B455" s="25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</row>
    <row r="456" ht="15.75" customHeight="1">
      <c r="A456" s="22"/>
      <c r="B456" s="25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</row>
    <row r="457" ht="15.75" customHeight="1">
      <c r="A457" s="22"/>
      <c r="B457" s="25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</row>
    <row r="458" ht="15.75" customHeight="1">
      <c r="A458" s="22"/>
      <c r="B458" s="25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</row>
    <row r="459" ht="15.75" customHeight="1">
      <c r="A459" s="22"/>
      <c r="B459" s="25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</row>
    <row r="460" ht="15.75" customHeight="1">
      <c r="A460" s="22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</row>
    <row r="461" ht="15.75" customHeight="1">
      <c r="A461" s="22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</row>
    <row r="462" ht="15.75" customHeight="1">
      <c r="A462" s="22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</row>
    <row r="463" ht="15.75" customHeight="1">
      <c r="A463" s="22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</row>
    <row r="464" ht="15.75" customHeight="1">
      <c r="A464" s="22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</row>
    <row r="465" ht="15.75" customHeight="1">
      <c r="A465" s="22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</row>
    <row r="466" ht="15.75" customHeight="1">
      <c r="A466" s="22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</row>
    <row r="467" ht="15.75" customHeight="1">
      <c r="A467" s="22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</row>
    <row r="468" ht="15.75" customHeight="1">
      <c r="A468" s="22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</row>
    <row r="469" ht="15.75" customHeight="1">
      <c r="A469" s="22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</row>
    <row r="470" ht="15.75" customHeight="1">
      <c r="A470" s="22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</row>
    <row r="471" ht="15.75" customHeight="1">
      <c r="A471" s="22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72" ht="15.75" customHeight="1">
      <c r="A472" s="22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</row>
    <row r="473" ht="15.75" customHeight="1">
      <c r="A473" s="22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</row>
    <row r="474" ht="15.75" customHeight="1">
      <c r="A474" s="22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</row>
    <row r="475" ht="15.75" customHeight="1">
      <c r="A475" s="22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</row>
    <row r="476" ht="15.75" customHeight="1">
      <c r="A476" s="22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</row>
    <row r="477" ht="15.75" customHeight="1">
      <c r="A477" s="22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</row>
    <row r="478" ht="15.75" customHeight="1">
      <c r="A478" s="22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</row>
    <row r="479" ht="15.75" customHeight="1">
      <c r="A479" s="22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</row>
    <row r="480" ht="15.75" customHeight="1">
      <c r="A480" s="22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</row>
    <row r="481" ht="15.75" customHeight="1">
      <c r="A481" s="22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</row>
    <row r="482" ht="15.75" customHeight="1">
      <c r="A482" s="22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</row>
    <row r="483" ht="15.75" customHeight="1">
      <c r="A483" s="22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</row>
    <row r="484" ht="15.75" customHeight="1">
      <c r="A484" s="22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</row>
    <row r="485" ht="15.75" customHeight="1">
      <c r="A485" s="22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</row>
    <row r="486" ht="15.75" customHeight="1">
      <c r="A486" s="22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</row>
    <row r="487" ht="15.75" customHeight="1">
      <c r="A487" s="22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</row>
    <row r="488" ht="15.75" customHeight="1">
      <c r="A488" s="22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</row>
    <row r="489" ht="15.75" customHeight="1">
      <c r="A489" s="22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</row>
    <row r="490" ht="15.75" customHeight="1">
      <c r="A490" s="22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 ht="15.75" customHeight="1">
      <c r="A491" s="22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</row>
    <row r="492" ht="15.75" customHeight="1">
      <c r="A492" s="22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</row>
    <row r="493" ht="15.75" customHeight="1">
      <c r="A493" s="22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</row>
    <row r="494" ht="15.75" customHeight="1">
      <c r="A494" s="22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</row>
    <row r="495" ht="15.75" customHeight="1">
      <c r="A495" s="22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</row>
    <row r="496" ht="15.75" customHeight="1">
      <c r="A496" s="22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</row>
    <row r="497" ht="15.75" customHeight="1">
      <c r="A497" s="22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</row>
    <row r="498" ht="15.75" customHeight="1">
      <c r="A498" s="22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</row>
    <row r="499" ht="15.75" customHeight="1">
      <c r="A499" s="22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</row>
    <row r="500" ht="15.75" customHeight="1">
      <c r="A500" s="22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</row>
    <row r="501" ht="15.75" customHeight="1">
      <c r="A501" s="22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</row>
    <row r="502" ht="15.75" customHeight="1">
      <c r="A502" s="22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</row>
    <row r="503" ht="15.75" customHeight="1">
      <c r="A503" s="22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</row>
    <row r="504" ht="15.75" customHeight="1">
      <c r="A504" s="22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</row>
    <row r="505" ht="15.75" customHeight="1">
      <c r="A505" s="22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</row>
    <row r="506" ht="15.75" customHeight="1">
      <c r="A506" s="22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</row>
    <row r="507" ht="15.75" customHeight="1">
      <c r="A507" s="22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</row>
    <row r="508" ht="15.75" customHeight="1">
      <c r="A508" s="22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</row>
    <row r="509" ht="15.75" customHeight="1">
      <c r="A509" s="22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</row>
    <row r="510" ht="15.75" customHeight="1">
      <c r="A510" s="22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</row>
    <row r="511" ht="15.75" customHeight="1">
      <c r="A511" s="22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</row>
    <row r="512" ht="15.75" customHeight="1">
      <c r="A512" s="22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</row>
    <row r="513" ht="15.75" customHeight="1">
      <c r="A513" s="22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</row>
    <row r="514" ht="15.75" customHeight="1">
      <c r="A514" s="22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 ht="15.75" customHeight="1">
      <c r="A515" s="22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16" ht="15.75" customHeight="1">
      <c r="A516" s="22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</row>
    <row r="517" ht="15.75" customHeight="1">
      <c r="A517" s="22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</row>
    <row r="518" ht="15.75" customHeight="1">
      <c r="A518" s="22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</row>
    <row r="519" ht="15.75" customHeight="1">
      <c r="A519" s="22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</row>
    <row r="520" ht="15.75" customHeight="1">
      <c r="A520" s="22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</row>
    <row r="521" ht="15.75" customHeight="1">
      <c r="A521" s="22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</row>
    <row r="522" ht="15.75" customHeight="1">
      <c r="A522" s="22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</row>
    <row r="523" ht="15.75" customHeight="1">
      <c r="A523" s="22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</row>
    <row r="524" ht="15.75" customHeight="1">
      <c r="A524" s="22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</row>
    <row r="525" ht="15.75" customHeight="1">
      <c r="A525" s="22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</row>
    <row r="526" ht="15.75" customHeight="1">
      <c r="A526" s="22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</row>
    <row r="527" ht="15.75" customHeight="1">
      <c r="A527" s="22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</row>
    <row r="528" ht="15.75" customHeight="1">
      <c r="A528" s="22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</row>
    <row r="529" ht="15.75" customHeight="1">
      <c r="A529" s="22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</row>
    <row r="530" ht="15.75" customHeight="1">
      <c r="A530" s="22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</row>
    <row r="531" ht="15.75" customHeight="1">
      <c r="A531" s="22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 ht="15.75" customHeight="1">
      <c r="A532" s="22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</row>
    <row r="533" ht="15.75" customHeight="1">
      <c r="A533" s="22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</row>
    <row r="534" ht="15.75" customHeight="1">
      <c r="A534" s="22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</row>
    <row r="535" ht="15.75" customHeight="1">
      <c r="A535" s="22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</row>
    <row r="536" ht="15.75" customHeight="1">
      <c r="A536" s="22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</row>
    <row r="537" ht="15.75" customHeight="1">
      <c r="A537" s="22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</row>
    <row r="538" ht="15.75" customHeight="1">
      <c r="A538" s="22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</row>
    <row r="539" ht="15.75" customHeight="1">
      <c r="A539" s="22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</row>
    <row r="540" ht="15.75" customHeight="1">
      <c r="A540" s="22"/>
      <c r="B540" s="25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 ht="15.75" customHeight="1">
      <c r="A541" s="22"/>
      <c r="B541" s="25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</row>
    <row r="542" ht="15.75" customHeight="1">
      <c r="A542" s="22"/>
      <c r="B542" s="25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</row>
    <row r="543" ht="15.75" customHeight="1">
      <c r="A543" s="22"/>
      <c r="B543" s="25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</row>
    <row r="544" ht="15.75" customHeight="1">
      <c r="A544" s="22"/>
      <c r="B544" s="25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</row>
    <row r="545" ht="15.75" customHeight="1">
      <c r="A545" s="22"/>
      <c r="B545" s="25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</row>
    <row r="546" ht="15.75" customHeight="1">
      <c r="A546" s="22"/>
      <c r="B546" s="25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</row>
    <row r="547" ht="15.75" customHeight="1">
      <c r="A547" s="22"/>
      <c r="B547" s="25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</row>
    <row r="548" ht="15.75" customHeight="1">
      <c r="A548" s="22"/>
      <c r="B548" s="25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</row>
    <row r="549" ht="15.75" customHeight="1">
      <c r="A549" s="22"/>
      <c r="B549" s="25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 ht="15.75" customHeight="1">
      <c r="A550" s="22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</row>
    <row r="551" ht="15.75" customHeight="1">
      <c r="A551" s="22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</row>
    <row r="552" ht="15.75" customHeight="1">
      <c r="A552" s="22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 ht="15.75" customHeight="1">
      <c r="A553" s="22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</row>
    <row r="554" ht="15.75" customHeight="1">
      <c r="A554" s="22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</row>
    <row r="555" ht="15.75" customHeight="1">
      <c r="A555" s="22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56" ht="15.75" customHeight="1">
      <c r="A556" s="22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</row>
    <row r="557" ht="15.75" customHeight="1">
      <c r="A557" s="22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</row>
    <row r="558" ht="15.75" customHeight="1">
      <c r="A558" s="22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 ht="15.75" customHeight="1">
      <c r="A559" s="22"/>
      <c r="B559" s="25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</row>
    <row r="560" ht="15.75" customHeight="1">
      <c r="A560" s="22"/>
      <c r="B560" s="25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</row>
    <row r="561" ht="15.75" customHeight="1">
      <c r="A561" s="22"/>
      <c r="B561" s="25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</row>
    <row r="562" ht="15.75" customHeight="1">
      <c r="A562" s="22"/>
      <c r="B562" s="25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</row>
    <row r="563" ht="15.75" customHeight="1">
      <c r="A563" s="22"/>
      <c r="B563" s="25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</row>
    <row r="564" ht="15.75" customHeight="1">
      <c r="A564" s="22"/>
      <c r="B564" s="25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</row>
    <row r="565" ht="15.75" customHeight="1">
      <c r="A565" s="22"/>
      <c r="B565" s="25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</row>
    <row r="566" ht="15.75" customHeight="1">
      <c r="A566" s="22"/>
      <c r="B566" s="25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</row>
    <row r="567" ht="15.75" customHeight="1">
      <c r="A567" s="22"/>
      <c r="B567" s="25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</row>
    <row r="568" ht="15.75" customHeight="1">
      <c r="A568" s="22"/>
      <c r="B568" s="25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</row>
    <row r="569" ht="15.75" customHeight="1">
      <c r="A569" s="22"/>
      <c r="B569" s="25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</row>
    <row r="570" ht="15.75" customHeight="1">
      <c r="A570" s="22"/>
      <c r="B570" s="25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 ht="15.75" customHeight="1">
      <c r="A571" s="22"/>
      <c r="B571" s="25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</row>
    <row r="572" ht="15.75" customHeight="1">
      <c r="A572" s="22"/>
      <c r="B572" s="25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</row>
    <row r="573" ht="15.75" customHeight="1">
      <c r="A573" s="22"/>
      <c r="B573" s="25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</row>
    <row r="574" ht="15.75" customHeight="1">
      <c r="A574" s="22"/>
      <c r="B574" s="25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</row>
    <row r="575" ht="15.75" customHeight="1">
      <c r="A575" s="22"/>
      <c r="B575" s="25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</row>
    <row r="576" ht="15.75" customHeight="1">
      <c r="A576" s="22"/>
      <c r="B576" s="25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</row>
    <row r="577" ht="15.75" customHeight="1">
      <c r="A577" s="22"/>
      <c r="B577" s="25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</row>
    <row r="578" ht="15.75" customHeight="1">
      <c r="A578" s="22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 ht="15.75" customHeight="1">
      <c r="A579" s="22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</row>
    <row r="580" ht="15.75" customHeight="1">
      <c r="A580" s="22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</row>
    <row r="581" ht="15.75" customHeight="1">
      <c r="A581" s="22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</row>
    <row r="582" ht="15.75" customHeight="1">
      <c r="A582" s="22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</row>
    <row r="583" ht="15.75" customHeight="1">
      <c r="A583" s="22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 ht="15.75" customHeight="1">
      <c r="A584" s="22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</row>
    <row r="585" ht="15.75" customHeight="1">
      <c r="A585" s="22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</row>
    <row r="586" ht="15.75" customHeight="1">
      <c r="A586" s="22"/>
      <c r="B586" s="25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</row>
    <row r="587" ht="15.75" customHeight="1">
      <c r="A587" s="22"/>
      <c r="B587" s="25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</row>
    <row r="588" ht="15.75" customHeight="1">
      <c r="A588" s="22"/>
      <c r="B588" s="25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</row>
    <row r="589" ht="15.75" customHeight="1">
      <c r="A589" s="22"/>
      <c r="B589" s="25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</row>
    <row r="590" ht="15.75" customHeight="1">
      <c r="A590" s="22"/>
      <c r="B590" s="25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</row>
    <row r="591" ht="15.75" customHeight="1">
      <c r="A591" s="22"/>
      <c r="B591" s="25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</row>
    <row r="592" ht="15.75" customHeight="1">
      <c r="A592" s="22"/>
      <c r="B592" s="25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</row>
    <row r="593" ht="15.75" customHeight="1">
      <c r="A593" s="22"/>
      <c r="B593" s="25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</row>
    <row r="594" ht="15.75" customHeight="1">
      <c r="A594" s="22"/>
      <c r="B594" s="25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</row>
    <row r="595" ht="15.75" customHeight="1">
      <c r="A595" s="22"/>
      <c r="B595" s="25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</row>
    <row r="596" ht="15.75" customHeight="1">
      <c r="A596" s="22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</row>
    <row r="597" ht="15.75" customHeight="1">
      <c r="A597" s="22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</row>
    <row r="598" ht="15.75" customHeight="1">
      <c r="A598" s="22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</row>
    <row r="599" ht="15.75" customHeight="1">
      <c r="A599" s="22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</row>
    <row r="600" ht="15.75" customHeight="1">
      <c r="A600" s="22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</row>
    <row r="601" ht="15.75" customHeight="1">
      <c r="A601" s="22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</row>
    <row r="602" ht="15.75" customHeight="1">
      <c r="A602" s="22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</row>
    <row r="603" ht="15.75" customHeight="1">
      <c r="A603" s="22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</row>
    <row r="604" ht="15.75" customHeight="1">
      <c r="A604" s="22"/>
      <c r="B604" s="25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</row>
    <row r="605" ht="15.75" customHeight="1">
      <c r="A605" s="22"/>
      <c r="B605" s="25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</row>
    <row r="606" ht="15.75" customHeight="1">
      <c r="A606" s="22"/>
      <c r="B606" s="25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</row>
    <row r="607" ht="15.75" customHeight="1">
      <c r="A607" s="22"/>
      <c r="B607" s="25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</row>
    <row r="608" ht="15.75" customHeight="1">
      <c r="A608" s="22"/>
      <c r="B608" s="25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</row>
    <row r="609" ht="15.75" customHeight="1">
      <c r="A609" s="22"/>
      <c r="B609" s="25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</row>
    <row r="610" ht="15.75" customHeight="1">
      <c r="A610" s="22"/>
      <c r="B610" s="25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</row>
    <row r="611" ht="15.75" customHeight="1">
      <c r="A611" s="22"/>
      <c r="B611" s="25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</row>
    <row r="612" ht="15.75" customHeight="1">
      <c r="A612" s="22"/>
      <c r="B612" s="25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</row>
    <row r="613" ht="15.75" customHeight="1">
      <c r="A613" s="22"/>
      <c r="B613" s="25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</row>
    <row r="614" ht="15.75" customHeight="1">
      <c r="A614" s="22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</row>
    <row r="615" ht="15.75" customHeight="1">
      <c r="A615" s="22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</row>
    <row r="616" ht="15.75" customHeight="1">
      <c r="A616" s="22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ht="15.75" customHeight="1">
      <c r="A617" s="22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ht="15.75" customHeight="1">
      <c r="A618" s="22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ht="15.75" customHeight="1">
      <c r="A619" s="22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ht="15.75" customHeight="1">
      <c r="A620" s="22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ht="15.75" customHeight="1">
      <c r="A621" s="22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ht="15.75" customHeight="1">
      <c r="A622" s="22"/>
      <c r="B622" s="25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ht="15.75" customHeight="1">
      <c r="A623" s="22"/>
      <c r="B623" s="25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24" ht="15.75" customHeight="1">
      <c r="A624" s="22"/>
      <c r="B624" s="25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 ht="15.75" customHeight="1">
      <c r="A625" s="22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</row>
    <row r="626" ht="15.75" customHeight="1">
      <c r="A626" s="22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</row>
    <row r="627" ht="15.75" customHeight="1">
      <c r="A627" s="22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</row>
    <row r="628" ht="15.75" customHeight="1">
      <c r="A628" s="22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</row>
    <row r="629" ht="15.75" customHeight="1">
      <c r="A629" s="22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</row>
    <row r="630" ht="15.75" customHeight="1">
      <c r="A630" s="22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</row>
    <row r="631" ht="15.75" customHeight="1">
      <c r="A631" s="22"/>
      <c r="B631" s="25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</row>
    <row r="632" ht="15.75" customHeight="1">
      <c r="A632" s="22"/>
      <c r="B632" s="25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</row>
    <row r="633" ht="15.75" customHeight="1">
      <c r="A633" s="22"/>
      <c r="B633" s="25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</row>
    <row r="634" ht="15.75" customHeight="1">
      <c r="A634" s="22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</row>
    <row r="635" ht="15.75" customHeight="1">
      <c r="A635" s="22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</row>
    <row r="636" ht="15.75" customHeight="1">
      <c r="A636" s="22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</row>
    <row r="637" ht="15.75" customHeight="1">
      <c r="A637" s="22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</row>
    <row r="638" ht="15.75" customHeight="1">
      <c r="A638" s="22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</row>
    <row r="639" ht="15.75" customHeight="1">
      <c r="A639" s="22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</row>
    <row r="640" ht="15.75" customHeight="1">
      <c r="A640" s="22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</row>
    <row r="641" ht="15.75" customHeight="1">
      <c r="A641" s="22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</row>
    <row r="642" ht="15.75" customHeight="1">
      <c r="A642" s="22"/>
      <c r="B642" s="25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</row>
    <row r="643" ht="15.75" customHeight="1">
      <c r="A643" s="22"/>
      <c r="B643" s="25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</row>
    <row r="644" ht="15.75" customHeight="1">
      <c r="A644" s="22"/>
      <c r="B644" s="25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</row>
    <row r="645" ht="15.75" customHeight="1">
      <c r="A645" s="22"/>
      <c r="B645" s="25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</row>
    <row r="646" ht="15.75" customHeight="1">
      <c r="A646" s="22"/>
      <c r="B646" s="25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</row>
    <row r="647" ht="15.75" customHeight="1">
      <c r="A647" s="22"/>
      <c r="B647" s="25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</row>
    <row r="648" ht="15.75" customHeight="1">
      <c r="A648" s="22"/>
      <c r="B648" s="25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</row>
    <row r="649" ht="15.75" customHeight="1">
      <c r="A649" s="22"/>
      <c r="B649" s="25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</row>
    <row r="650" ht="15.75" customHeight="1">
      <c r="A650" s="22"/>
      <c r="B650" s="25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</row>
    <row r="651" ht="15.75" customHeight="1">
      <c r="A651" s="22"/>
      <c r="B651" s="25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</row>
    <row r="652" ht="15.75" customHeight="1">
      <c r="A652" s="22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</row>
    <row r="653" ht="15.75" customHeight="1">
      <c r="A653" s="22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</row>
    <row r="654" ht="15.75" customHeight="1">
      <c r="A654" s="22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</row>
    <row r="655" ht="15.75" customHeight="1">
      <c r="A655" s="22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</row>
    <row r="656" ht="15.75" customHeight="1">
      <c r="A656" s="22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</row>
    <row r="657" ht="15.75" customHeight="1">
      <c r="A657" s="22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</row>
    <row r="658" ht="15.75" customHeight="1">
      <c r="A658" s="22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</row>
    <row r="659" ht="15.75" customHeight="1">
      <c r="A659" s="22"/>
      <c r="B659" s="25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</row>
    <row r="660" ht="15.75" customHeight="1">
      <c r="A660" s="22"/>
      <c r="B660" s="25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</row>
    <row r="661" ht="15.75" customHeight="1">
      <c r="A661" s="22"/>
      <c r="B661" s="25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</row>
    <row r="662" ht="15.75" customHeight="1">
      <c r="A662" s="22"/>
      <c r="B662" s="25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</row>
    <row r="663" ht="15.75" customHeight="1">
      <c r="A663" s="22"/>
      <c r="B663" s="25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</row>
    <row r="664" ht="15.75" customHeight="1">
      <c r="A664" s="22"/>
      <c r="B664" s="25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</row>
    <row r="665" ht="15.75" customHeight="1">
      <c r="A665" s="22"/>
      <c r="B665" s="25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</row>
    <row r="666" ht="15.75" customHeight="1">
      <c r="A666" s="22"/>
      <c r="B666" s="25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</row>
    <row r="667" ht="15.75" customHeight="1">
      <c r="A667" s="22"/>
      <c r="B667" s="25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</row>
    <row r="668" ht="15.75" customHeight="1">
      <c r="A668" s="22"/>
      <c r="B668" s="25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</row>
    <row r="669" ht="15.75" customHeight="1">
      <c r="A669" s="22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</row>
    <row r="670" ht="15.75" customHeight="1">
      <c r="A670" s="22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</row>
    <row r="671" ht="15.75" customHeight="1">
      <c r="A671" s="22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</row>
    <row r="672" ht="15.75" customHeight="1">
      <c r="A672" s="22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</row>
    <row r="673" ht="15.75" customHeight="1">
      <c r="A673" s="22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</row>
    <row r="674" ht="15.75" customHeight="1">
      <c r="A674" s="22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</row>
    <row r="675" ht="15.75" customHeight="1">
      <c r="A675" s="22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</row>
    <row r="676" ht="15.75" customHeight="1">
      <c r="A676" s="22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</row>
    <row r="677" ht="15.75" customHeight="1">
      <c r="A677" s="22"/>
      <c r="B677" s="25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</row>
    <row r="678" ht="15.75" customHeight="1">
      <c r="A678" s="22"/>
      <c r="B678" s="25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</row>
    <row r="679" ht="15.75" customHeight="1">
      <c r="A679" s="22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</row>
    <row r="680" ht="15.75" customHeight="1">
      <c r="A680" s="22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</row>
    <row r="681" ht="15.75" customHeight="1">
      <c r="A681" s="22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</row>
    <row r="682" ht="15.75" customHeight="1">
      <c r="A682" s="22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</row>
    <row r="683" ht="15.75" customHeight="1">
      <c r="A683" s="22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</row>
    <row r="684" ht="15.75" customHeight="1">
      <c r="A684" s="22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</row>
    <row r="685" ht="15.75" customHeight="1">
      <c r="A685" s="22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</row>
    <row r="686" ht="15.75" customHeight="1">
      <c r="A686" s="22"/>
      <c r="B686" s="25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</row>
    <row r="687" ht="15.75" customHeight="1">
      <c r="A687" s="22"/>
      <c r="B687" s="25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</row>
    <row r="688" ht="15.75" customHeight="1">
      <c r="A688" s="22"/>
      <c r="B688" s="25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</row>
    <row r="689" ht="15.75" customHeight="1">
      <c r="A689" s="22"/>
      <c r="B689" s="25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</row>
    <row r="690" ht="15.75" customHeight="1">
      <c r="A690" s="22"/>
      <c r="B690" s="25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</row>
    <row r="691" ht="15.75" customHeight="1">
      <c r="A691" s="22"/>
      <c r="B691" s="25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</row>
    <row r="692" ht="15.75" customHeight="1">
      <c r="A692" s="22"/>
      <c r="B692" s="25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</row>
    <row r="693" ht="15.75" customHeight="1">
      <c r="A693" s="22"/>
      <c r="B693" s="25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</row>
    <row r="694" ht="15.75" customHeight="1">
      <c r="A694" s="22"/>
      <c r="B694" s="25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</row>
    <row r="695" ht="15.75" customHeight="1">
      <c r="A695" s="22"/>
      <c r="B695" s="25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</row>
    <row r="696" ht="15.75" customHeight="1">
      <c r="A696" s="22"/>
      <c r="B696" s="25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</row>
    <row r="697" ht="15.75" customHeight="1">
      <c r="A697" s="22"/>
      <c r="B697" s="25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</row>
    <row r="698" ht="15.75" customHeight="1">
      <c r="A698" s="22"/>
      <c r="B698" s="25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</row>
    <row r="699" ht="15.75" customHeight="1">
      <c r="A699" s="22"/>
      <c r="B699" s="25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</row>
    <row r="700" ht="15.75" customHeight="1">
      <c r="A700" s="22"/>
      <c r="B700" s="25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</row>
    <row r="701" ht="15.75" customHeight="1">
      <c r="A701" s="22"/>
      <c r="B701" s="25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</row>
    <row r="702" ht="15.75" customHeight="1">
      <c r="A702" s="22"/>
      <c r="B702" s="25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</row>
    <row r="703" ht="15.75" customHeight="1">
      <c r="A703" s="22"/>
      <c r="B703" s="25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</row>
    <row r="704" ht="15.75" customHeight="1">
      <c r="A704" s="22"/>
      <c r="B704" s="25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</row>
    <row r="705" ht="15.75" customHeight="1">
      <c r="A705" s="22"/>
      <c r="B705" s="25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</row>
    <row r="706" ht="15.75" customHeight="1">
      <c r="A706" s="22"/>
      <c r="B706" s="25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</row>
    <row r="707" ht="15.75" customHeight="1">
      <c r="A707" s="22"/>
      <c r="B707" s="25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</row>
    <row r="708" ht="15.75" customHeight="1">
      <c r="A708" s="22"/>
      <c r="B708" s="25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</row>
    <row r="709" ht="15.75" customHeight="1">
      <c r="A709" s="22"/>
      <c r="B709" s="25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</row>
    <row r="710" ht="15.75" customHeight="1">
      <c r="A710" s="22"/>
      <c r="B710" s="25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</row>
    <row r="711" ht="15.75" customHeight="1">
      <c r="A711" s="22"/>
      <c r="B711" s="25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</row>
    <row r="712" ht="15.75" customHeight="1">
      <c r="A712" s="22"/>
      <c r="B712" s="25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</row>
    <row r="713" ht="15.75" customHeight="1">
      <c r="A713" s="22"/>
      <c r="B713" s="25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</row>
    <row r="714" ht="15.75" customHeight="1">
      <c r="A714" s="22"/>
      <c r="B714" s="25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</row>
    <row r="715" ht="15.75" customHeight="1">
      <c r="A715" s="22"/>
      <c r="B715" s="25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</row>
    <row r="716" ht="15.75" customHeight="1">
      <c r="A716" s="22"/>
      <c r="B716" s="25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 ht="15.75" customHeight="1">
      <c r="A717" s="22"/>
      <c r="B717" s="25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</row>
    <row r="718" ht="15.75" customHeight="1">
      <c r="A718" s="22"/>
      <c r="B718" s="25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</row>
    <row r="719" ht="15.75" customHeight="1">
      <c r="A719" s="22"/>
      <c r="B719" s="25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</row>
    <row r="720" ht="15.75" customHeight="1">
      <c r="A720" s="22"/>
      <c r="B720" s="25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</row>
    <row r="721" ht="15.75" customHeight="1">
      <c r="A721" s="22"/>
      <c r="B721" s="25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</row>
    <row r="722" ht="15.75" customHeight="1">
      <c r="A722" s="22"/>
      <c r="B722" s="25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</row>
    <row r="723" ht="15.75" customHeight="1">
      <c r="A723" s="22"/>
      <c r="B723" s="25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</row>
    <row r="724" ht="15.75" customHeight="1">
      <c r="A724" s="22"/>
      <c r="B724" s="25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</row>
    <row r="725" ht="15.75" customHeight="1">
      <c r="A725" s="22"/>
      <c r="B725" s="25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</row>
    <row r="726" ht="15.75" customHeight="1">
      <c r="A726" s="22"/>
      <c r="B726" s="25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</row>
    <row r="727" ht="15.75" customHeight="1">
      <c r="A727" s="22"/>
      <c r="B727" s="25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</row>
    <row r="728" ht="15.75" customHeight="1">
      <c r="A728" s="22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</row>
    <row r="729" ht="15.75" customHeight="1">
      <c r="A729" s="22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</row>
    <row r="730" ht="15.75" customHeight="1">
      <c r="A730" s="22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</row>
    <row r="731" ht="15.75" customHeight="1">
      <c r="A731" s="22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</row>
    <row r="732" ht="15.75" customHeight="1">
      <c r="A732" s="22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</row>
    <row r="733" ht="15.75" customHeight="1">
      <c r="A733" s="22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</row>
    <row r="734" ht="15.75" customHeight="1">
      <c r="A734" s="22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</row>
    <row r="735" ht="15.75" customHeight="1">
      <c r="A735" s="22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</row>
    <row r="736" ht="15.75" customHeight="1">
      <c r="A736" s="22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</row>
    <row r="737" ht="15.75" customHeight="1">
      <c r="A737" s="22"/>
      <c r="B737" s="25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</row>
    <row r="738" ht="15.75" customHeight="1">
      <c r="A738" s="22"/>
      <c r="B738" s="25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</row>
    <row r="739" ht="15.75" customHeight="1">
      <c r="A739" s="22"/>
      <c r="B739" s="25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</row>
    <row r="740" ht="15.75" customHeight="1">
      <c r="A740" s="22"/>
      <c r="B740" s="25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</row>
    <row r="741" ht="15.75" customHeight="1">
      <c r="A741" s="22"/>
      <c r="B741" s="25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</row>
    <row r="742" ht="15.75" customHeight="1">
      <c r="A742" s="22"/>
      <c r="B742" s="25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</row>
    <row r="743" ht="15.75" customHeight="1">
      <c r="A743" s="22"/>
      <c r="B743" s="25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</row>
    <row r="744" ht="15.75" customHeight="1">
      <c r="A744" s="22"/>
      <c r="B744" s="25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</row>
    <row r="745" ht="15.75" customHeight="1">
      <c r="A745" s="22"/>
      <c r="B745" s="25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</row>
    <row r="746" ht="15.75" customHeight="1">
      <c r="A746" s="22"/>
      <c r="B746" s="25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</row>
    <row r="747" ht="15.75" customHeight="1">
      <c r="A747" s="22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</row>
    <row r="748" ht="15.75" customHeight="1">
      <c r="A748" s="22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</row>
    <row r="749" ht="15.75" customHeight="1">
      <c r="A749" s="22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</row>
    <row r="750" ht="15.75" customHeight="1">
      <c r="A750" s="22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</row>
    <row r="751" ht="15.75" customHeight="1">
      <c r="A751" s="22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</row>
    <row r="752" ht="15.75" customHeight="1">
      <c r="A752" s="22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</row>
    <row r="753" ht="15.75" customHeight="1">
      <c r="A753" s="22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</row>
    <row r="754" ht="15.75" customHeight="1">
      <c r="A754" s="22"/>
      <c r="B754" s="25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 ht="15.75" customHeight="1">
      <c r="A755" s="22"/>
      <c r="B755" s="25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</row>
    <row r="756" ht="15.75" customHeight="1">
      <c r="A756" s="22"/>
      <c r="B756" s="25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</row>
    <row r="757" ht="15.75" customHeight="1">
      <c r="A757" s="22"/>
      <c r="B757" s="25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</row>
    <row r="758" ht="15.75" customHeight="1">
      <c r="A758" s="22"/>
      <c r="B758" s="25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</row>
    <row r="759" ht="15.75" customHeight="1">
      <c r="A759" s="22"/>
      <c r="B759" s="25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</row>
    <row r="760" ht="15.75" customHeight="1">
      <c r="A760" s="22"/>
      <c r="B760" s="25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</row>
    <row r="761" ht="15.75" customHeight="1">
      <c r="A761" s="22"/>
      <c r="B761" s="25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</row>
    <row r="762" ht="15.75" customHeight="1">
      <c r="A762" s="22"/>
      <c r="B762" s="25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</row>
    <row r="763" ht="15.75" customHeight="1">
      <c r="A763" s="22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</row>
    <row r="764" ht="15.75" customHeight="1">
      <c r="A764" s="22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</row>
    <row r="765" ht="15.75" customHeight="1">
      <c r="A765" s="22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</row>
    <row r="766" ht="15.75" customHeight="1">
      <c r="A766" s="22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</row>
    <row r="767" ht="15.75" customHeight="1">
      <c r="A767" s="22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</row>
    <row r="768" ht="15.75" customHeight="1">
      <c r="A768" s="22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</row>
    <row r="769" ht="15.75" customHeight="1">
      <c r="A769" s="22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</row>
    <row r="770" ht="15.75" customHeight="1">
      <c r="A770" s="22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</row>
    <row r="771" ht="15.75" customHeight="1">
      <c r="A771" s="22"/>
      <c r="B771" s="25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</row>
    <row r="772" ht="15.75" customHeight="1">
      <c r="A772" s="22"/>
      <c r="B772" s="25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</row>
    <row r="773" ht="15.75" customHeight="1">
      <c r="A773" s="22"/>
      <c r="B773" s="25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</row>
    <row r="774" ht="15.75" customHeight="1">
      <c r="A774" s="22"/>
      <c r="B774" s="25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</row>
    <row r="775" ht="15.75" customHeight="1">
      <c r="A775" s="22"/>
      <c r="B775" s="25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</row>
    <row r="776" ht="15.75" customHeight="1">
      <c r="A776" s="22"/>
      <c r="B776" s="25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</row>
    <row r="777" ht="15.75" customHeight="1">
      <c r="A777" s="22"/>
      <c r="B777" s="25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</row>
    <row r="778" ht="15.75" customHeight="1">
      <c r="A778" s="22"/>
      <c r="B778" s="25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</row>
    <row r="779" ht="15.75" customHeight="1">
      <c r="A779" s="22"/>
      <c r="B779" s="25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</row>
    <row r="780" ht="15.75" customHeight="1">
      <c r="A780" s="22"/>
      <c r="B780" s="25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</row>
    <row r="781" ht="15.75" customHeight="1">
      <c r="A781" s="22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</row>
    <row r="782" ht="15.75" customHeight="1">
      <c r="A782" s="22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</row>
    <row r="783" ht="15.75" customHeight="1">
      <c r="A783" s="22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</row>
    <row r="784" ht="15.75" customHeight="1">
      <c r="A784" s="22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</row>
    <row r="785" ht="15.75" customHeight="1">
      <c r="A785" s="22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</row>
    <row r="786" ht="15.75" customHeight="1">
      <c r="A786" s="22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</row>
    <row r="787" ht="15.75" customHeight="1">
      <c r="A787" s="22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</row>
    <row r="788" ht="15.75" customHeight="1">
      <c r="A788" s="22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</row>
    <row r="789" ht="15.75" customHeight="1">
      <c r="A789" s="22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</row>
    <row r="790" ht="15.75" customHeight="1">
      <c r="A790" s="22"/>
      <c r="B790" s="25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</row>
    <row r="791" ht="15.75" customHeight="1">
      <c r="A791" s="22"/>
      <c r="B791" s="25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</row>
    <row r="792" ht="15.75" customHeight="1">
      <c r="A792" s="22"/>
      <c r="B792" s="25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</row>
    <row r="793" ht="15.75" customHeight="1">
      <c r="A793" s="22"/>
      <c r="B793" s="25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</row>
    <row r="794" ht="15.75" customHeight="1">
      <c r="A794" s="22"/>
      <c r="B794" s="25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</row>
    <row r="795" ht="15.75" customHeight="1">
      <c r="A795" s="22"/>
      <c r="B795" s="25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</row>
    <row r="796" ht="15.75" customHeight="1">
      <c r="A796" s="22"/>
      <c r="B796" s="25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</row>
    <row r="797" ht="15.75" customHeight="1">
      <c r="A797" s="22"/>
      <c r="B797" s="25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</row>
    <row r="798" ht="15.75" customHeight="1">
      <c r="A798" s="22"/>
      <c r="B798" s="25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</row>
    <row r="799" ht="15.75" customHeight="1">
      <c r="A799" s="22"/>
      <c r="B799" s="25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</row>
    <row r="800" ht="15.75" customHeight="1">
      <c r="A800" s="22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</row>
    <row r="801" ht="15.75" customHeight="1">
      <c r="A801" s="22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</row>
    <row r="802" ht="15.75" customHeight="1">
      <c r="A802" s="22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</row>
    <row r="803" ht="15.75" customHeight="1">
      <c r="A803" s="22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</row>
    <row r="804" ht="15.75" customHeight="1">
      <c r="A804" s="22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</row>
    <row r="805" ht="15.75" customHeight="1">
      <c r="A805" s="22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</row>
    <row r="806" ht="15.75" customHeight="1">
      <c r="A806" s="22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</row>
    <row r="807" ht="15.75" customHeight="1">
      <c r="A807" s="22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</row>
    <row r="808" ht="15.75" customHeight="1">
      <c r="A808" s="22"/>
      <c r="B808" s="25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</row>
    <row r="809" ht="15.75" customHeight="1">
      <c r="A809" s="22"/>
      <c r="B809" s="25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</row>
    <row r="810" ht="15.75" customHeight="1">
      <c r="A810" s="22"/>
      <c r="B810" s="25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</row>
    <row r="811" ht="15.75" customHeight="1">
      <c r="A811" s="22"/>
      <c r="B811" s="25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</row>
    <row r="812" ht="15.75" customHeight="1">
      <c r="A812" s="22"/>
      <c r="B812" s="25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</row>
    <row r="813" ht="15.75" customHeight="1">
      <c r="A813" s="22"/>
      <c r="B813" s="25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</row>
    <row r="814" ht="15.75" customHeight="1">
      <c r="A814" s="22"/>
      <c r="B814" s="25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</row>
    <row r="815" ht="15.75" customHeight="1">
      <c r="A815" s="22"/>
      <c r="B815" s="25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</row>
    <row r="816" ht="15.75" customHeight="1">
      <c r="A816" s="22"/>
      <c r="B816" s="25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</row>
    <row r="817" ht="15.75" customHeight="1">
      <c r="A817" s="22"/>
      <c r="B817" s="25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</row>
    <row r="818" ht="15.75" customHeight="1">
      <c r="A818" s="22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</row>
    <row r="819" ht="15.75" customHeight="1">
      <c r="A819" s="22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</row>
    <row r="820" ht="15.75" customHeight="1">
      <c r="A820" s="22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</row>
    <row r="821" ht="15.75" customHeight="1">
      <c r="A821" s="22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</row>
    <row r="822" ht="15.75" customHeight="1">
      <c r="A822" s="22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</row>
    <row r="823" ht="15.75" customHeight="1">
      <c r="A823" s="22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</row>
    <row r="824" ht="15.75" customHeight="1">
      <c r="A824" s="22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</row>
    <row r="825" ht="15.75" customHeight="1">
      <c r="A825" s="22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</row>
    <row r="826" ht="15.75" customHeight="1">
      <c r="A826" s="22"/>
      <c r="B826" s="25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</row>
    <row r="827" ht="15.75" customHeight="1">
      <c r="A827" s="22"/>
      <c r="B827" s="25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</row>
    <row r="828" ht="15.75" customHeight="1">
      <c r="A828" s="22"/>
      <c r="B828" s="25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</row>
    <row r="829" ht="15.75" customHeight="1">
      <c r="A829" s="22"/>
      <c r="B829" s="25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</row>
    <row r="830" ht="15.75" customHeight="1">
      <c r="A830" s="22"/>
      <c r="B830" s="25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</row>
    <row r="831" ht="15.75" customHeight="1">
      <c r="A831" s="22"/>
      <c r="B831" s="25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</row>
    <row r="832" ht="15.75" customHeight="1">
      <c r="A832" s="22"/>
      <c r="B832" s="25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</row>
    <row r="833" ht="15.75" customHeight="1">
      <c r="A833" s="22"/>
      <c r="B833" s="25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</row>
    <row r="834" ht="15.75" customHeight="1">
      <c r="A834" s="22"/>
      <c r="B834" s="25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</row>
    <row r="835" ht="15.75" customHeight="1">
      <c r="A835" s="22"/>
      <c r="B835" s="25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</row>
    <row r="836" ht="15.75" customHeight="1">
      <c r="A836" s="22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</row>
    <row r="837" ht="15.75" customHeight="1">
      <c r="A837" s="22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</row>
    <row r="838" ht="15.75" customHeight="1">
      <c r="A838" s="22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</row>
    <row r="839" ht="15.75" customHeight="1">
      <c r="A839" s="22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</row>
    <row r="840" ht="15.75" customHeight="1">
      <c r="A840" s="22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</row>
    <row r="841" ht="15.75" customHeight="1">
      <c r="A841" s="22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</row>
    <row r="842" ht="15.75" customHeight="1">
      <c r="A842" s="22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</row>
    <row r="843" ht="15.75" customHeight="1">
      <c r="A843" s="22"/>
      <c r="B843" s="25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</row>
    <row r="844" ht="15.75" customHeight="1">
      <c r="A844" s="22"/>
      <c r="B844" s="25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</row>
    <row r="845" ht="15.75" customHeight="1">
      <c r="A845" s="22"/>
      <c r="B845" s="25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</row>
    <row r="846" ht="15.75" customHeight="1">
      <c r="A846" s="22"/>
      <c r="B846" s="25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</row>
    <row r="847" ht="15.75" customHeight="1">
      <c r="A847" s="22"/>
      <c r="B847" s="25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</row>
    <row r="848" ht="15.75" customHeight="1">
      <c r="A848" s="22"/>
      <c r="B848" s="25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</row>
    <row r="849" ht="15.75" customHeight="1">
      <c r="A849" s="22"/>
      <c r="B849" s="25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</row>
    <row r="850" ht="15.75" customHeight="1">
      <c r="A850" s="22"/>
      <c r="B850" s="25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</row>
    <row r="851" ht="15.75" customHeight="1">
      <c r="A851" s="22"/>
      <c r="B851" s="25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</row>
    <row r="852" ht="15.75" customHeight="1">
      <c r="A852" s="22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</row>
    <row r="853" ht="15.75" customHeight="1">
      <c r="A853" s="22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</row>
    <row r="854" ht="15.75" customHeight="1">
      <c r="A854" s="22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</row>
    <row r="855" ht="15.75" customHeight="1">
      <c r="A855" s="22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</row>
    <row r="856" ht="15.75" customHeight="1">
      <c r="A856" s="22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</row>
    <row r="857" ht="15.75" customHeight="1">
      <c r="A857" s="22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</row>
    <row r="858" ht="15.75" customHeight="1">
      <c r="A858" s="22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</row>
    <row r="859" ht="15.75" customHeight="1">
      <c r="A859" s="22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</row>
    <row r="860" ht="15.75" customHeight="1">
      <c r="A860" s="22"/>
      <c r="B860" s="25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</row>
    <row r="861" ht="15.75" customHeight="1">
      <c r="A861" s="22"/>
      <c r="B861" s="25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</row>
    <row r="862" ht="15.75" customHeight="1">
      <c r="A862" s="22"/>
      <c r="B862" s="25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</row>
    <row r="863" ht="15.75" customHeight="1">
      <c r="A863" s="22"/>
      <c r="B863" s="25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</row>
    <row r="864" ht="15.75" customHeight="1">
      <c r="A864" s="22"/>
      <c r="B864" s="25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</row>
    <row r="865" ht="15.75" customHeight="1">
      <c r="A865" s="22"/>
      <c r="B865" s="25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</row>
    <row r="866" ht="15.75" customHeight="1">
      <c r="A866" s="22"/>
      <c r="B866" s="25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</row>
    <row r="867" ht="15.75" customHeight="1">
      <c r="A867" s="22"/>
      <c r="B867" s="25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</row>
    <row r="868" ht="15.75" customHeight="1">
      <c r="A868" s="22"/>
      <c r="B868" s="25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</row>
    <row r="869" ht="15.75" customHeight="1">
      <c r="A869" s="22"/>
      <c r="B869" s="25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</row>
    <row r="870" ht="15.75" customHeight="1">
      <c r="A870" s="22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</row>
    <row r="871" ht="15.75" customHeight="1">
      <c r="A871" s="22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</row>
    <row r="872" ht="15.75" customHeight="1">
      <c r="A872" s="22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</row>
    <row r="873" ht="15.75" customHeight="1">
      <c r="A873" s="22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ht="15.75" customHeight="1">
      <c r="A874" s="22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ht="15.75" customHeight="1">
      <c r="A875" s="22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ht="15.75" customHeight="1">
      <c r="A876" s="22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ht="15.75" customHeight="1">
      <c r="A877" s="22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ht="15.75" customHeight="1">
      <c r="A878" s="22"/>
      <c r="B878" s="25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ht="15.75" customHeight="1">
      <c r="A879" s="22"/>
      <c r="B879" s="25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ht="15.75" customHeight="1">
      <c r="A880" s="22"/>
      <c r="B880" s="25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ht="15.75" customHeight="1">
      <c r="A881" s="22"/>
      <c r="B881" s="25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ht="15.75" customHeight="1">
      <c r="A882" s="22"/>
      <c r="B882" s="25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ht="15.75" customHeight="1">
      <c r="A883" s="22"/>
      <c r="B883" s="25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ht="15.75" customHeight="1">
      <c r="A884" s="22"/>
      <c r="B884" s="25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ht="15.75" customHeight="1">
      <c r="A885" s="22"/>
      <c r="B885" s="25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ht="15.75" customHeight="1">
      <c r="A886" s="22"/>
      <c r="B886" s="25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ht="15.75" customHeight="1">
      <c r="A887" s="22"/>
      <c r="B887" s="25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ht="15.75" customHeight="1">
      <c r="A888" s="22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ht="15.75" customHeight="1">
      <c r="A889" s="22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ht="15.75" customHeight="1">
      <c r="A890" s="22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ht="15.75" customHeight="1">
      <c r="A891" s="22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ht="15.75" customHeight="1">
      <c r="A892" s="22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ht="15.75" customHeight="1">
      <c r="A893" s="22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ht="15.75" customHeight="1">
      <c r="A894" s="22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ht="15.75" customHeight="1">
      <c r="A895" s="22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ht="15.75" customHeight="1">
      <c r="A896" s="22"/>
      <c r="B896" s="25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ht="15.75" customHeight="1">
      <c r="A897" s="22"/>
      <c r="B897" s="25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ht="15.75" customHeight="1">
      <c r="A898" s="22"/>
      <c r="B898" s="25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ht="15.75" customHeight="1">
      <c r="A899" s="22"/>
      <c r="B899" s="25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ht="15.75" customHeight="1">
      <c r="A900" s="22"/>
      <c r="B900" s="25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ht="15.75" customHeight="1">
      <c r="A901" s="22"/>
      <c r="B901" s="25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ht="15.75" customHeight="1">
      <c r="A902" s="22"/>
      <c r="B902" s="25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ht="15.75" customHeight="1">
      <c r="A903" s="22"/>
      <c r="B903" s="25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ht="15.75" customHeight="1">
      <c r="A904" s="22"/>
      <c r="B904" s="25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ht="15.75" customHeight="1">
      <c r="A905" s="22"/>
      <c r="B905" s="25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ht="15.75" customHeight="1">
      <c r="A906" s="22"/>
      <c r="B906" s="25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ht="15.75" customHeight="1">
      <c r="A907" s="22"/>
      <c r="B907" s="25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ht="15.75" customHeight="1">
      <c r="A908" s="22"/>
      <c r="B908" s="25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ht="15.75" customHeight="1">
      <c r="A909" s="22"/>
      <c r="B909" s="25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ht="15.75" customHeight="1">
      <c r="A910" s="22"/>
      <c r="B910" s="25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ht="15.75" customHeight="1">
      <c r="A911" s="22"/>
      <c r="B911" s="25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ht="15.75" customHeight="1">
      <c r="A912" s="22"/>
      <c r="B912" s="25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ht="15.75" customHeight="1">
      <c r="A913" s="22"/>
      <c r="B913" s="25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ht="15.75" customHeight="1">
      <c r="A914" s="22"/>
      <c r="B914" s="25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ht="15.75" customHeight="1">
      <c r="A915" s="22"/>
      <c r="B915" s="25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ht="15.75" customHeight="1">
      <c r="A916" s="22"/>
      <c r="B916" s="25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ht="15.75" customHeight="1">
      <c r="A917" s="22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ht="15.75" customHeight="1">
      <c r="A918" s="22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ht="15.75" customHeight="1">
      <c r="A919" s="22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ht="15.75" customHeight="1">
      <c r="A920" s="22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ht="15.75" customHeight="1">
      <c r="A921" s="22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ht="15.75" customHeight="1">
      <c r="A922" s="22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ht="15.75" customHeight="1">
      <c r="A923" s="22"/>
      <c r="B923" s="25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ht="15.75" customHeight="1">
      <c r="A924" s="22"/>
      <c r="B924" s="25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ht="15.75" customHeight="1">
      <c r="A925" s="22"/>
      <c r="B925" s="25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ht="15.75" customHeight="1">
      <c r="A926" s="22"/>
      <c r="B926" s="25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ht="15.75" customHeight="1">
      <c r="A927" s="22"/>
      <c r="B927" s="25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ht="15.75" customHeight="1">
      <c r="A928" s="22"/>
      <c r="B928" s="25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ht="15.75" customHeight="1">
      <c r="A929" s="22"/>
      <c r="B929" s="25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ht="15.75" customHeight="1">
      <c r="A930" s="22"/>
      <c r="B930" s="25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ht="15.75" customHeight="1">
      <c r="A931" s="22"/>
      <c r="B931" s="25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ht="15.75" customHeight="1">
      <c r="A932" s="22"/>
      <c r="B932" s="25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ht="15.75" customHeight="1">
      <c r="A933" s="22"/>
      <c r="B933" s="25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ht="15.75" customHeight="1">
      <c r="A934" s="22"/>
      <c r="B934" s="25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ht="15.75" customHeight="1">
      <c r="A935" s="22"/>
      <c r="B935" s="25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ht="15.75" customHeight="1">
      <c r="A936" s="22"/>
      <c r="B936" s="25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ht="15.75" customHeight="1">
      <c r="A937" s="22"/>
      <c r="B937" s="25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ht="15.75" customHeight="1">
      <c r="A938" s="22"/>
      <c r="B938" s="25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ht="15.75" customHeight="1">
      <c r="A939" s="22"/>
      <c r="B939" s="25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ht="15.75" customHeight="1">
      <c r="A940" s="22"/>
      <c r="B940" s="25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ht="15.75" customHeight="1">
      <c r="A941" s="22"/>
      <c r="B941" s="25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ht="15.75" customHeight="1">
      <c r="A942" s="22"/>
      <c r="B942" s="25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ht="15.75" customHeight="1">
      <c r="A943" s="22"/>
      <c r="B943" s="25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ht="15.75" customHeight="1">
      <c r="A944" s="22"/>
      <c r="B944" s="25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ht="15.75" customHeight="1">
      <c r="A945" s="22"/>
      <c r="B945" s="25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ht="15.75" customHeight="1">
      <c r="A946" s="22"/>
      <c r="B946" s="25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ht="15.75" customHeight="1">
      <c r="A947" s="22"/>
      <c r="B947" s="25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ht="15.75" customHeight="1">
      <c r="A948" s="22"/>
      <c r="B948" s="25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ht="15.75" customHeight="1">
      <c r="A949" s="22"/>
      <c r="B949" s="25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950" ht="15.75" customHeight="1">
      <c r="A950" s="22"/>
      <c r="B950" s="25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</row>
    <row r="951" ht="15.75" customHeight="1">
      <c r="A951" s="22"/>
      <c r="B951" s="25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</row>
    <row r="952" ht="15.75" customHeight="1">
      <c r="A952" s="22"/>
      <c r="B952" s="25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</row>
    <row r="953" ht="15.75" customHeight="1">
      <c r="A953" s="22"/>
      <c r="B953" s="25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</row>
    <row r="954" ht="15.75" customHeight="1">
      <c r="A954" s="22"/>
      <c r="B954" s="25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</row>
    <row r="955" ht="15.75" customHeight="1">
      <c r="A955" s="22"/>
      <c r="B955" s="25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</row>
    <row r="956" ht="15.75" customHeight="1">
      <c r="A956" s="22"/>
      <c r="B956" s="25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</row>
    <row r="957" ht="15.75" customHeight="1">
      <c r="A957" s="22"/>
      <c r="B957" s="25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</row>
    <row r="958" ht="15.75" customHeight="1">
      <c r="A958" s="22"/>
      <c r="B958" s="25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</row>
    <row r="959" ht="15.75" customHeight="1">
      <c r="A959" s="22"/>
      <c r="B959" s="25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</row>
    <row r="960" ht="15.75" customHeight="1">
      <c r="A960" s="22"/>
      <c r="B960" s="25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</row>
    <row r="961" ht="15.75" customHeight="1">
      <c r="A961" s="22"/>
      <c r="B961" s="25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</row>
    <row r="962" ht="15.75" customHeight="1">
      <c r="A962" s="22"/>
      <c r="B962" s="25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</row>
    <row r="963" ht="15.75" customHeight="1">
      <c r="A963" s="22"/>
      <c r="B963" s="25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</row>
    <row r="964" ht="15.75" customHeight="1">
      <c r="A964" s="22"/>
      <c r="B964" s="25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</row>
    <row r="965" ht="15.75" customHeight="1">
      <c r="A965" s="22"/>
      <c r="B965" s="25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</row>
    <row r="966" ht="15.75" customHeight="1">
      <c r="A966" s="22"/>
      <c r="B966" s="25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</row>
    <row r="967" ht="15.75" customHeight="1">
      <c r="A967" s="22"/>
      <c r="B967" s="25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</row>
    <row r="968" ht="15.75" customHeight="1">
      <c r="A968" s="22"/>
      <c r="B968" s="25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</row>
    <row r="969" ht="15.75" customHeight="1">
      <c r="A969" s="22"/>
      <c r="B969" s="25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</row>
    <row r="970" ht="15.75" customHeight="1">
      <c r="A970" s="22"/>
      <c r="B970" s="25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</row>
    <row r="971" ht="15.75" customHeight="1">
      <c r="A971" s="22"/>
      <c r="B971" s="25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</row>
    <row r="972" ht="15.75" customHeight="1">
      <c r="A972" s="22"/>
      <c r="B972" s="25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</row>
    <row r="973" ht="15.75" customHeight="1">
      <c r="A973" s="22"/>
      <c r="B973" s="25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</row>
    <row r="974" ht="15.75" customHeight="1">
      <c r="A974" s="22"/>
      <c r="B974" s="25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</row>
    <row r="975" ht="15.75" customHeight="1">
      <c r="A975" s="22"/>
      <c r="B975" s="25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</row>
    <row r="976" ht="15.75" customHeight="1">
      <c r="A976" s="22"/>
      <c r="B976" s="25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</row>
    <row r="977" ht="15.75" customHeight="1">
      <c r="A977" s="22"/>
      <c r="B977" s="25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</row>
    <row r="978" ht="15.75" customHeight="1">
      <c r="A978" s="22"/>
      <c r="B978" s="25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</row>
    <row r="979" ht="15.75" customHeight="1">
      <c r="A979" s="22"/>
      <c r="B979" s="25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</row>
    <row r="980" ht="15.75" customHeight="1">
      <c r="A980" s="22"/>
      <c r="B980" s="25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</row>
    <row r="981" ht="15.75" customHeight="1">
      <c r="A981" s="22"/>
      <c r="B981" s="25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</row>
    <row r="982" ht="15.75" customHeight="1">
      <c r="A982" s="22"/>
      <c r="B982" s="25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</row>
    <row r="983" ht="15.75" customHeight="1">
      <c r="A983" s="22"/>
      <c r="B983" s="25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</row>
    <row r="984" ht="15.75" customHeight="1">
      <c r="A984" s="22"/>
      <c r="B984" s="25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</row>
    <row r="985" ht="15.75" customHeight="1">
      <c r="A985" s="22"/>
      <c r="B985" s="25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</row>
    <row r="986" ht="15.75" customHeight="1">
      <c r="A986" s="22"/>
      <c r="B986" s="25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</row>
    <row r="987" ht="15.75" customHeight="1">
      <c r="A987" s="22"/>
      <c r="B987" s="25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</row>
    <row r="988" ht="15.75" customHeight="1">
      <c r="A988" s="22"/>
      <c r="B988" s="25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</row>
    <row r="989" ht="15.75" customHeight="1">
      <c r="A989" s="22"/>
      <c r="B989" s="25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</row>
    <row r="990" ht="15.75" customHeight="1">
      <c r="A990" s="22"/>
      <c r="B990" s="25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</row>
    <row r="991" ht="15.75" customHeight="1">
      <c r="A991" s="22"/>
      <c r="B991" s="25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</row>
    <row r="992" ht="15.75" customHeight="1">
      <c r="A992" s="22"/>
      <c r="B992" s="25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</row>
    <row r="993" ht="15.75" customHeight="1">
      <c r="A993" s="22"/>
      <c r="B993" s="25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</row>
    <row r="994" ht="15.75" customHeight="1">
      <c r="A994" s="22"/>
      <c r="B994" s="25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</row>
    <row r="995" ht="15.75" customHeight="1">
      <c r="A995" s="22"/>
      <c r="B995" s="25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</row>
    <row r="996" ht="15.75" customHeight="1">
      <c r="A996" s="22"/>
      <c r="B996" s="25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</row>
    <row r="997" ht="15.75" customHeight="1">
      <c r="A997" s="22"/>
      <c r="B997" s="25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</row>
    <row r="998" ht="15.75" customHeight="1">
      <c r="A998" s="22"/>
      <c r="B998" s="25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</row>
    <row r="999" ht="15.75" customHeight="1">
      <c r="A999" s="22"/>
      <c r="B999" s="25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</row>
    <row r="1000" ht="15.75" customHeight="1">
      <c r="A1000" s="22"/>
      <c r="B1000" s="25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</row>
    <row r="1001" ht="15.75" customHeight="1">
      <c r="A1001" s="22"/>
      <c r="B1001" s="25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</row>
    <row r="1002" ht="15.75" customHeight="1">
      <c r="A1002" s="22"/>
      <c r="B1002" s="25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</row>
    <row r="1003" ht="15.75" customHeight="1">
      <c r="A1003" s="22"/>
      <c r="B1003" s="25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</row>
    <row r="1004" ht="15.75" customHeight="1">
      <c r="A1004" s="22"/>
      <c r="B1004" s="25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</row>
    <row r="1005" ht="15.75" customHeight="1">
      <c r="A1005" s="22"/>
      <c r="B1005" s="25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</row>
    <row r="1006" ht="15.75" customHeight="1">
      <c r="A1006" s="22"/>
      <c r="B1006" s="25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</row>
  </sheetData>
  <mergeCells count="3">
    <mergeCell ref="C1:S1"/>
    <mergeCell ref="U1:W1"/>
    <mergeCell ref="A2:B2"/>
  </mergeCells>
  <conditionalFormatting sqref="W3:W18">
    <cfRule type="cellIs" dxfId="0" priority="1" operator="greaterThan">
      <formula>0</formula>
    </cfRule>
  </conditionalFormatting>
  <conditionalFormatting sqref="W3:W18">
    <cfRule type="cellIs" dxfId="1" priority="2" operator="lessThan">
      <formula>0</formula>
    </cfRule>
  </conditionalFormatting>
  <conditionalFormatting sqref="W19">
    <cfRule type="cellIs" dxfId="0" priority="3" operator="greaterThan">
      <formula>0</formula>
    </cfRule>
  </conditionalFormatting>
  <conditionalFormatting sqref="W19">
    <cfRule type="cellIs" dxfId="1" priority="4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19" width="9.5"/>
  </cols>
  <sheetData>
    <row r="1" ht="15.75" customHeight="1">
      <c r="A1" s="9" t="s">
        <v>39</v>
      </c>
      <c r="B1" s="9">
        <f>Gantt!C2</f>
        <v>45933</v>
      </c>
      <c r="C1" s="9">
        <f t="shared" ref="C1:R1" si="1">B1+7</f>
        <v>45940</v>
      </c>
      <c r="D1" s="9">
        <f t="shared" si="1"/>
        <v>45947</v>
      </c>
      <c r="E1" s="9">
        <f t="shared" si="1"/>
        <v>45954</v>
      </c>
      <c r="F1" s="9">
        <f t="shared" si="1"/>
        <v>45961</v>
      </c>
      <c r="G1" s="9">
        <f t="shared" si="1"/>
        <v>45968</v>
      </c>
      <c r="H1" s="9">
        <f t="shared" si="1"/>
        <v>45975</v>
      </c>
      <c r="I1" s="9">
        <f t="shared" si="1"/>
        <v>45982</v>
      </c>
      <c r="J1" s="9">
        <f t="shared" si="1"/>
        <v>45989</v>
      </c>
      <c r="K1" s="9">
        <f t="shared" si="1"/>
        <v>45996</v>
      </c>
      <c r="L1" s="9">
        <f t="shared" si="1"/>
        <v>46003</v>
      </c>
      <c r="M1" s="9">
        <f t="shared" si="1"/>
        <v>46010</v>
      </c>
      <c r="N1" s="9">
        <f t="shared" si="1"/>
        <v>46017</v>
      </c>
      <c r="O1" s="9">
        <f t="shared" si="1"/>
        <v>46024</v>
      </c>
      <c r="P1" s="9">
        <f t="shared" si="1"/>
        <v>46031</v>
      </c>
      <c r="Q1" s="9">
        <f t="shared" si="1"/>
        <v>46038</v>
      </c>
      <c r="R1" s="9">
        <f t="shared" si="1"/>
        <v>46045</v>
      </c>
      <c r="S1" s="29" t="s">
        <v>40</v>
      </c>
    </row>
    <row r="2" ht="15.75" customHeight="1">
      <c r="A2" s="30" t="str">
        <f>Gantt!A3</f>
        <v>T1</v>
      </c>
      <c r="B2" s="31">
        <f>Ismael!B2+'Alvaro dla Herran'!B2+Urien!B2+'Alvaro lpz de Ocariz'!B2</f>
        <v>0</v>
      </c>
      <c r="C2" s="32">
        <f>Ismael!C2+'Alvaro dla Herran'!C2+Urien!C2+'Alvaro lpz de Ocariz'!C2</f>
        <v>1</v>
      </c>
      <c r="D2" s="32">
        <f>Ismael!D2+'Alvaro dla Herran'!D2+Urien!D2+'Alvaro lpz de Ocariz'!D2</f>
        <v>3</v>
      </c>
      <c r="E2" s="32">
        <f>Ismael!E2+'Alvaro dla Herran'!E2+Urien!E2+'Alvaro lpz de Ocariz'!E2</f>
        <v>3</v>
      </c>
      <c r="F2" s="32">
        <f>Ismael!F2+'Alvaro dla Herran'!F2+Urien!F2+'Alvaro lpz de Ocariz'!F2</f>
        <v>2</v>
      </c>
      <c r="G2" s="32">
        <f>Ismael!G2+'Alvaro dla Herran'!G2+Urien!G2+'Alvaro lpz de Ocariz'!G2</f>
        <v>0</v>
      </c>
      <c r="H2" s="32">
        <f>Ismael!H2+'Alvaro dla Herran'!H2+Urien!H2+'Alvaro lpz de Ocariz'!H2</f>
        <v>2</v>
      </c>
      <c r="I2" s="32">
        <f>Ismael!I2+'Alvaro dla Herran'!I2+Urien!I2+'Alvaro lpz de Ocariz'!I2</f>
        <v>1</v>
      </c>
      <c r="J2" s="32">
        <f>Ismael!J2+'Alvaro dla Herran'!J2+Urien!J2+'Alvaro lpz de Ocariz'!J2</f>
        <v>2</v>
      </c>
      <c r="K2" s="32">
        <f>Ismael!K2+'Alvaro dla Herran'!K2+Urien!K2+'Alvaro lpz de Ocariz'!K2</f>
        <v>0</v>
      </c>
      <c r="L2" s="32">
        <f>Ismael!L2+'Alvaro dla Herran'!L2+Urien!L2+'Alvaro lpz de Ocariz'!L2</f>
        <v>0</v>
      </c>
      <c r="M2" s="32">
        <f>Ismael!M2+'Alvaro dla Herran'!M2+Urien!M2+'Alvaro lpz de Ocariz'!M2</f>
        <v>0</v>
      </c>
      <c r="N2" s="32">
        <f>Ismael!N2+'Alvaro dla Herran'!N2+Urien!N2+'Alvaro lpz de Ocariz'!N2</f>
        <v>0</v>
      </c>
      <c r="O2" s="32">
        <f>Ismael!O2+'Alvaro dla Herran'!O2+Urien!O2+'Alvaro lpz de Ocariz'!O2</f>
        <v>0</v>
      </c>
      <c r="P2" s="32">
        <f>Ismael!P2+'Alvaro dla Herran'!P2+Urien!P2+'Alvaro lpz de Ocariz'!P2</f>
        <v>0</v>
      </c>
      <c r="Q2" s="32">
        <f>Ismael!Q2+'Alvaro dla Herran'!Q2+Urien!Q2+'Alvaro lpz de Ocariz'!Q2</f>
        <v>0</v>
      </c>
      <c r="R2" s="32">
        <f>Ismael!R2+'Alvaro dla Herran'!R2+Urien!R2+'Alvaro lpz de Ocariz'!R2</f>
        <v>0</v>
      </c>
      <c r="S2" s="11">
        <f t="shared" ref="S2:S18" si="2">SUM(B2:R2)</f>
        <v>14</v>
      </c>
    </row>
    <row r="3" ht="15.75" customHeight="1">
      <c r="A3" s="30" t="str">
        <f>Gantt!A4</f>
        <v>T2</v>
      </c>
      <c r="B3" s="32">
        <f>Ismael!B3+'Alvaro dla Herran'!B3+Urien!B3+'Alvaro lpz de Ocariz'!B3</f>
        <v>0</v>
      </c>
      <c r="C3" s="32">
        <f>Ismael!C3+'Alvaro dla Herran'!C3+Urien!C3+'Alvaro lpz de Ocariz'!C3</f>
        <v>0</v>
      </c>
      <c r="D3" s="32">
        <f>Ismael!D3+'Alvaro dla Herran'!D3+Urien!D3+'Alvaro lpz de Ocariz'!D3</f>
        <v>1</v>
      </c>
      <c r="E3" s="32">
        <f>Ismael!E3+'Alvaro dla Herran'!E3+Urien!E3+'Alvaro lpz de Ocariz'!E3</f>
        <v>0</v>
      </c>
      <c r="F3" s="32">
        <f>Ismael!F3+'Alvaro dla Herran'!F3+Urien!F3+'Alvaro lpz de Ocariz'!F3</f>
        <v>0</v>
      </c>
      <c r="G3" s="32">
        <f>Ismael!G3+'Alvaro dla Herran'!G3+Urien!G3+'Alvaro lpz de Ocariz'!G3</f>
        <v>1</v>
      </c>
      <c r="H3" s="32">
        <f>Ismael!H3+'Alvaro dla Herran'!H3+Urien!H3+'Alvaro lpz de Ocariz'!H3</f>
        <v>0</v>
      </c>
      <c r="I3" s="32">
        <f>Ismael!I3+'Alvaro dla Herran'!I3+Urien!I3+'Alvaro lpz de Ocariz'!I3</f>
        <v>0</v>
      </c>
      <c r="J3" s="32">
        <f>Ismael!J3+'Alvaro dla Herran'!J3+Urien!J3+'Alvaro lpz de Ocariz'!J3</f>
        <v>0</v>
      </c>
      <c r="K3" s="32">
        <f>Ismael!K3+'Alvaro dla Herran'!K3+Urien!K3+'Alvaro lpz de Ocariz'!K3</f>
        <v>0</v>
      </c>
      <c r="L3" s="32">
        <f>Ismael!L3+'Alvaro dla Herran'!L3+Urien!L3+'Alvaro lpz de Ocariz'!L3</f>
        <v>0</v>
      </c>
      <c r="M3" s="32">
        <f>Ismael!M3+'Alvaro dla Herran'!M3+Urien!M3+'Alvaro lpz de Ocariz'!M3</f>
        <v>0</v>
      </c>
      <c r="N3" s="32">
        <f>Ismael!N3+'Alvaro dla Herran'!N3+Urien!N3+'Alvaro lpz de Ocariz'!N3</f>
        <v>0</v>
      </c>
      <c r="O3" s="32">
        <f>Ismael!O3+'Alvaro dla Herran'!O3+Urien!O3+'Alvaro lpz de Ocariz'!O3</f>
        <v>0</v>
      </c>
      <c r="P3" s="32">
        <f>Ismael!P3+'Alvaro dla Herran'!P3+Urien!P3+'Alvaro lpz de Ocariz'!P3</f>
        <v>0</v>
      </c>
      <c r="Q3" s="32">
        <f>Ismael!Q3+'Alvaro dla Herran'!Q3+Urien!Q3+'Alvaro lpz de Ocariz'!Q3</f>
        <v>0</v>
      </c>
      <c r="R3" s="32">
        <f>Ismael!R3+'Alvaro dla Herran'!R3+Urien!R3+'Alvaro lpz de Ocariz'!R3</f>
        <v>0</v>
      </c>
      <c r="S3" s="11">
        <f t="shared" si="2"/>
        <v>2</v>
      </c>
    </row>
    <row r="4" ht="15.75" customHeight="1">
      <c r="A4" s="30" t="str">
        <f>Gantt!A5</f>
        <v>T3</v>
      </c>
      <c r="B4" s="32">
        <f>Ismael!B4+'Alvaro dla Herran'!B4+Urien!B4+'Alvaro lpz de Ocariz'!B4</f>
        <v>0</v>
      </c>
      <c r="C4" s="32">
        <f>Ismael!C4+'Alvaro dla Herran'!C4+Urien!C4+'Alvaro lpz de Ocariz'!C4</f>
        <v>0</v>
      </c>
      <c r="D4" s="31">
        <v>0.0</v>
      </c>
      <c r="E4" s="32">
        <f>Ismael!E4+'Alvaro dla Herran'!E4+Urien!E4+'Alvaro lpz de Ocariz'!E4</f>
        <v>1</v>
      </c>
      <c r="F4" s="32">
        <f>Ismael!F4+'Alvaro dla Herran'!F4+Urien!F4+'Alvaro lpz de Ocariz'!F4</f>
        <v>2</v>
      </c>
      <c r="G4" s="32">
        <f>Ismael!G4+'Alvaro dla Herran'!G4+Urien!G4+'Alvaro lpz de Ocariz'!G4</f>
        <v>0</v>
      </c>
      <c r="H4" s="32">
        <f>Ismael!H4+'Alvaro dla Herran'!H4+Urien!H4+'Alvaro lpz de Ocariz'!H4</f>
        <v>0</v>
      </c>
      <c r="I4" s="32">
        <f>Ismael!I4+'Alvaro dla Herran'!I4+Urien!I4+'Alvaro lpz de Ocariz'!I4</f>
        <v>0</v>
      </c>
      <c r="J4" s="32">
        <f>Ismael!J4+'Alvaro dla Herran'!J4+Urien!J4+'Alvaro lpz de Ocariz'!J4</f>
        <v>0</v>
      </c>
      <c r="K4" s="32">
        <f>Ismael!K4+'Alvaro dla Herran'!K4+Urien!K4+'Alvaro lpz de Ocariz'!K4</f>
        <v>0</v>
      </c>
      <c r="L4" s="32">
        <f>Ismael!L4+'Alvaro dla Herran'!L4+Urien!L4+'Alvaro lpz de Ocariz'!L4</f>
        <v>0</v>
      </c>
      <c r="M4" s="32">
        <f>Ismael!M4+'Alvaro dla Herran'!M4+Urien!M4+'Alvaro lpz de Ocariz'!M4</f>
        <v>0</v>
      </c>
      <c r="N4" s="32">
        <f>Ismael!N4+'Alvaro dla Herran'!N4+Urien!N4+'Alvaro lpz de Ocariz'!N4</f>
        <v>0</v>
      </c>
      <c r="O4" s="32">
        <f>Ismael!O4+'Alvaro dla Herran'!O4+Urien!O4+'Alvaro lpz de Ocariz'!O4</f>
        <v>0</v>
      </c>
      <c r="P4" s="32">
        <f>Ismael!P4+'Alvaro dla Herran'!P4+Urien!P4+'Alvaro lpz de Ocariz'!P4</f>
        <v>0</v>
      </c>
      <c r="Q4" s="32">
        <f>Ismael!Q4+'Alvaro dla Herran'!Q4+Urien!Q4+'Alvaro lpz de Ocariz'!Q4</f>
        <v>0</v>
      </c>
      <c r="R4" s="32">
        <f>Ismael!R4+'Alvaro dla Herran'!R4+Urien!R4+'Alvaro lpz de Ocariz'!R4</f>
        <v>0</v>
      </c>
      <c r="S4" s="11">
        <f t="shared" si="2"/>
        <v>3</v>
      </c>
    </row>
    <row r="5" ht="15.75" customHeight="1">
      <c r="A5" s="30" t="str">
        <f>Gantt!A6</f>
        <v>T4</v>
      </c>
      <c r="B5" s="32">
        <f>Ismael!B5+'Alvaro dla Herran'!B5+Urien!B5+'Alvaro lpz de Ocariz'!B5</f>
        <v>0</v>
      </c>
      <c r="C5" s="32">
        <f>Ismael!C5+'Alvaro dla Herran'!C5+Urien!C5+'Alvaro lpz de Ocariz'!C5</f>
        <v>0</v>
      </c>
      <c r="D5" s="32">
        <f>Ismael!D5+'Alvaro dla Herran'!D5+Urien!D5+'Alvaro lpz de Ocariz'!D5</f>
        <v>0</v>
      </c>
      <c r="E5" s="32">
        <f>Ismael!E5+'Alvaro dla Herran'!E5+Urien!E5+'Alvaro lpz de Ocariz'!E5</f>
        <v>0</v>
      </c>
      <c r="F5" s="32">
        <f>Ismael!F5+'Alvaro dla Herran'!F5+Urien!F5+'Alvaro lpz de Ocariz'!F5</f>
        <v>0</v>
      </c>
      <c r="G5" s="32">
        <f>Ismael!G5+'Alvaro dla Herran'!G5+Urien!G5+'Alvaro lpz de Ocariz'!G5</f>
        <v>2</v>
      </c>
      <c r="H5" s="32">
        <f>Ismael!H5+'Alvaro dla Herran'!H5+Urien!H5+'Alvaro lpz de Ocariz'!H5</f>
        <v>2</v>
      </c>
      <c r="I5" s="32">
        <f>Ismael!I5+'Alvaro dla Herran'!I5+Urien!I5+'Alvaro lpz de Ocariz'!I5</f>
        <v>0</v>
      </c>
      <c r="J5" s="32">
        <f>Ismael!J5+'Alvaro dla Herran'!J5+Urien!J5+'Alvaro lpz de Ocariz'!J5</f>
        <v>0</v>
      </c>
      <c r="K5" s="32">
        <f>Ismael!K5+'Alvaro dla Herran'!K5+Urien!K5+'Alvaro lpz de Ocariz'!K5</f>
        <v>0</v>
      </c>
      <c r="L5" s="32">
        <f>Ismael!L5+'Alvaro dla Herran'!L5+Urien!L5+'Alvaro lpz de Ocariz'!L5</f>
        <v>0</v>
      </c>
      <c r="M5" s="32">
        <f>Ismael!M5+'Alvaro dla Herran'!M5+Urien!M5+'Alvaro lpz de Ocariz'!M5</f>
        <v>0</v>
      </c>
      <c r="N5" s="32">
        <f>Ismael!N5+'Alvaro dla Herran'!N5+Urien!N5+'Alvaro lpz de Ocariz'!N5</f>
        <v>0</v>
      </c>
      <c r="O5" s="32">
        <f>Ismael!O5+'Alvaro dla Herran'!O5+Urien!O5+'Alvaro lpz de Ocariz'!O5</f>
        <v>0</v>
      </c>
      <c r="P5" s="32">
        <f>Ismael!P5+'Alvaro dla Herran'!P5+Urien!P5+'Alvaro lpz de Ocariz'!P5</f>
        <v>0</v>
      </c>
      <c r="Q5" s="32">
        <f>Ismael!Q5+'Alvaro dla Herran'!Q5+Urien!Q5+'Alvaro lpz de Ocariz'!Q5</f>
        <v>0</v>
      </c>
      <c r="R5" s="32">
        <f>Ismael!R5+'Alvaro dla Herran'!R5+Urien!R5+'Alvaro lpz de Ocariz'!R5</f>
        <v>0</v>
      </c>
      <c r="S5" s="11">
        <f t="shared" si="2"/>
        <v>4</v>
      </c>
    </row>
    <row r="6" ht="15.75" customHeight="1">
      <c r="A6" s="30" t="str">
        <f>Gantt!A7</f>
        <v>T5</v>
      </c>
      <c r="B6" s="32">
        <f>Ismael!B6+'Alvaro dla Herran'!B6+Urien!B6+'Alvaro lpz de Ocariz'!B6</f>
        <v>0</v>
      </c>
      <c r="C6" s="32">
        <f>Ismael!C6+'Alvaro dla Herran'!C6+Urien!C6+'Alvaro lpz de Ocariz'!C6</f>
        <v>0</v>
      </c>
      <c r="D6" s="32">
        <f>Ismael!D6+'Alvaro dla Herran'!D6+Urien!D6+'Alvaro lpz de Ocariz'!D6</f>
        <v>0</v>
      </c>
      <c r="E6" s="32">
        <f>Ismael!E6+'Alvaro dla Herran'!E6+Urien!E6+'Alvaro lpz de Ocariz'!E6</f>
        <v>0</v>
      </c>
      <c r="F6" s="32">
        <f>Ismael!F6+'Alvaro dla Herran'!F6+Urien!F6+'Alvaro lpz de Ocariz'!F6</f>
        <v>1</v>
      </c>
      <c r="G6" s="32">
        <f>Ismael!G6+'Alvaro dla Herran'!G6+Urien!G6+'Alvaro lpz de Ocariz'!G6</f>
        <v>5</v>
      </c>
      <c r="H6" s="31">
        <v>0.0</v>
      </c>
      <c r="I6" s="32">
        <f>Ismael!I6+'Alvaro dla Herran'!I6+Urien!I6+'Alvaro lpz de Ocariz'!I6</f>
        <v>0</v>
      </c>
      <c r="J6" s="32">
        <f>Ismael!J6+'Alvaro dla Herran'!J6+Urien!J6+'Alvaro lpz de Ocariz'!J6</f>
        <v>0</v>
      </c>
      <c r="K6" s="32">
        <f>Ismael!K6+'Alvaro dla Herran'!K6+Urien!K6+'Alvaro lpz de Ocariz'!K6</f>
        <v>0</v>
      </c>
      <c r="L6" s="32">
        <f>Ismael!L6+'Alvaro dla Herran'!L6+Urien!L6+'Alvaro lpz de Ocariz'!L7</f>
        <v>0</v>
      </c>
      <c r="M6" s="32">
        <f>Ismael!M6+'Alvaro dla Herran'!M6+Urien!M6+'Alvaro lpz de Ocariz'!M6</f>
        <v>0</v>
      </c>
      <c r="N6" s="32">
        <f>Ismael!N6+'Alvaro dla Herran'!N6+Urien!N6+'Alvaro lpz de Ocariz'!N6</f>
        <v>0</v>
      </c>
      <c r="O6" s="32">
        <f>Ismael!O6+'Alvaro dla Herran'!O6+Urien!O6+'Alvaro lpz de Ocariz'!O6</f>
        <v>0</v>
      </c>
      <c r="P6" s="32">
        <f>Ismael!P6+'Alvaro dla Herran'!P6+Urien!P6+'Alvaro lpz de Ocariz'!P6</f>
        <v>0</v>
      </c>
      <c r="Q6" s="32">
        <f>Ismael!Q6+'Alvaro dla Herran'!Q6+Urien!Q6+'Alvaro lpz de Ocariz'!Q6</f>
        <v>0</v>
      </c>
      <c r="R6" s="32">
        <f>Ismael!R6+'Alvaro dla Herran'!R6+Urien!R6+'Alvaro lpz de Ocariz'!R6</f>
        <v>0</v>
      </c>
      <c r="S6" s="11">
        <f t="shared" si="2"/>
        <v>6</v>
      </c>
    </row>
    <row r="7" ht="15.75" customHeight="1">
      <c r="A7" s="30" t="str">
        <f>Gantt!A8</f>
        <v>T6</v>
      </c>
      <c r="B7" s="31">
        <v>0.0</v>
      </c>
      <c r="C7" s="32">
        <f>Ismael!C7+'Alvaro dla Herran'!C7+Urien!C7+'Alvaro lpz de Ocariz'!C7</f>
        <v>0</v>
      </c>
      <c r="D7" s="32">
        <f>Ismael!D7+'Alvaro dla Herran'!D7+Urien!D7+'Alvaro lpz de Ocariz'!D7</f>
        <v>1</v>
      </c>
      <c r="E7" s="32">
        <f>Ismael!E7+'Alvaro dla Herran'!E7+Urien!E7+'Alvaro lpz de Ocariz'!E7</f>
        <v>1</v>
      </c>
      <c r="F7" s="32">
        <f>Ismael!F7+'Alvaro dla Herran'!F7+Urien!F7+'Alvaro lpz de Ocariz'!F7</f>
        <v>2</v>
      </c>
      <c r="G7" s="32">
        <f>Ismael!G7+'Alvaro dla Herran'!G7+Urien!G7+'Alvaro lpz de Ocariz'!G7</f>
        <v>1</v>
      </c>
      <c r="H7" s="32">
        <f>Ismael!H7+'Alvaro dla Herran'!H7+Urien!H7+'Alvaro lpz de Ocariz'!H7</f>
        <v>1</v>
      </c>
      <c r="I7" s="32">
        <f>Ismael!I7+'Alvaro dla Herran'!I7+Urien!I7+'Alvaro lpz de Ocariz'!I7</f>
        <v>0</v>
      </c>
      <c r="J7" s="32">
        <f>Ismael!J7+'Alvaro dla Herran'!J7+Urien!J7+'Alvaro lpz de Ocariz'!J7</f>
        <v>0</v>
      </c>
      <c r="K7" s="32">
        <f>Ismael!K7+'Alvaro dla Herran'!K7+Urien!K7+'Alvaro lpz de Ocariz'!K7</f>
        <v>0</v>
      </c>
      <c r="L7" s="31">
        <v>0.0</v>
      </c>
      <c r="M7" s="32">
        <f>Ismael!M7+'Alvaro dla Herran'!M7+Urien!M7+'Alvaro lpz de Ocariz'!M7</f>
        <v>0</v>
      </c>
      <c r="N7" s="32">
        <f>Ismael!N7+'Alvaro dla Herran'!N7+Urien!N7+'Alvaro lpz de Ocariz'!N7</f>
        <v>0</v>
      </c>
      <c r="O7" s="32">
        <f>Ismael!O7+'Alvaro dla Herran'!O7+Urien!O7+'Alvaro lpz de Ocariz'!O7</f>
        <v>0</v>
      </c>
      <c r="P7" s="32">
        <f>Ismael!P7+'Alvaro dla Herran'!P7+Urien!P7+'Alvaro lpz de Ocariz'!P7</f>
        <v>0</v>
      </c>
      <c r="Q7" s="32">
        <f>Ismael!Q7+'Alvaro dla Herran'!Q7+Urien!Q7+'Alvaro lpz de Ocariz'!Q7</f>
        <v>0</v>
      </c>
      <c r="R7" s="32">
        <f>Ismael!R7+'Alvaro dla Herran'!R7+Urien!R7+'Alvaro lpz de Ocariz'!R7</f>
        <v>0</v>
      </c>
      <c r="S7" s="11">
        <f t="shared" si="2"/>
        <v>6</v>
      </c>
    </row>
    <row r="8" ht="15.75" customHeight="1">
      <c r="A8" s="30" t="str">
        <f>Gantt!A9</f>
        <v>T7</v>
      </c>
      <c r="B8" s="32">
        <f>Ismael!B8+'Alvaro dla Herran'!B8+Urien!B8+'Alvaro lpz de Ocariz'!B8</f>
        <v>0</v>
      </c>
      <c r="C8" s="32">
        <f>Ismael!C8+'Alvaro dla Herran'!C8+Urien!C8+'Alvaro lpz de Ocariz'!C8</f>
        <v>0</v>
      </c>
      <c r="D8" s="32">
        <f>Ismael!D8+'Alvaro dla Herran'!D8+Urien!D8+'Alvaro lpz de Ocariz'!D8</f>
        <v>0</v>
      </c>
      <c r="E8" s="32">
        <f>Ismael!E8+'Alvaro dla Herran'!E8+Urien!E8+'Alvaro lpz de Ocariz'!E8</f>
        <v>0</v>
      </c>
      <c r="F8" s="32">
        <f>Ismael!F8+'Alvaro dla Herran'!F8+Urien!F8+'Alvaro lpz de Ocariz'!F8</f>
        <v>0</v>
      </c>
      <c r="G8" s="32">
        <f>Ismael!G8+'Alvaro dla Herran'!G8+Urien!G8+'Alvaro lpz de Ocariz'!G8</f>
        <v>0</v>
      </c>
      <c r="H8" s="32">
        <f>Ismael!H8+'Alvaro dla Herran'!H8+Urien!H8+'Alvaro lpz de Ocariz'!H8</f>
        <v>0</v>
      </c>
      <c r="I8" s="32">
        <f>Ismael!I8+'Alvaro dla Herran'!I8+Urien!I8+'Alvaro lpz de Ocariz'!I8</f>
        <v>0</v>
      </c>
      <c r="J8" s="32">
        <f>Ismael!J8+'Alvaro dla Herran'!J8+Urien!J8+'Alvaro lpz de Ocariz'!J8</f>
        <v>0</v>
      </c>
      <c r="K8" s="32">
        <f>Ismael!K8+'Alvaro dla Herran'!K8+Urien!K8+'Alvaro lpz de Ocariz'!K8</f>
        <v>0</v>
      </c>
      <c r="L8" s="32">
        <f>Ismael!L8+'Alvaro dla Herran'!L8+Urien!L8+'Alvaro lpz de Ocariz'!L8</f>
        <v>0</v>
      </c>
      <c r="M8" s="32">
        <f>Ismael!M8+'Alvaro dla Herran'!M8+Urien!M8+'Alvaro lpz de Ocariz'!M8</f>
        <v>0</v>
      </c>
      <c r="N8" s="32">
        <f>Ismael!N8+'Alvaro dla Herran'!N8+Urien!N8+'Alvaro lpz de Ocariz'!N8</f>
        <v>0</v>
      </c>
      <c r="O8" s="32">
        <f>Ismael!O8+'Alvaro dla Herran'!O8+Urien!O8+'Alvaro lpz de Ocariz'!O8</f>
        <v>0</v>
      </c>
      <c r="P8" s="32">
        <f>Ismael!P8+'Alvaro dla Herran'!P8+Urien!P8+'Alvaro lpz de Ocariz'!P8</f>
        <v>0</v>
      </c>
      <c r="Q8" s="32">
        <f>Ismael!Q8+'Alvaro dla Herran'!Q8+Urien!Q8+'Alvaro lpz de Ocariz'!Q8</f>
        <v>0</v>
      </c>
      <c r="R8" s="32">
        <f>Ismael!R8+'Alvaro dla Herran'!R8+Urien!R8+'Alvaro lpz de Ocariz'!R8</f>
        <v>0</v>
      </c>
      <c r="S8" s="11">
        <f t="shared" si="2"/>
        <v>0</v>
      </c>
    </row>
    <row r="9" ht="15.75" customHeight="1">
      <c r="A9" s="30" t="str">
        <f>Gantt!A10</f>
        <v>T8</v>
      </c>
      <c r="B9" s="32">
        <f>Ismael!B9+'Alvaro dla Herran'!B9+Urien!B9+'Alvaro lpz de Ocariz'!B9</f>
        <v>0</v>
      </c>
      <c r="C9" s="32">
        <f>Ismael!C9+'Alvaro dla Herran'!C9+Urien!C9+'Alvaro lpz de Ocariz'!C9</f>
        <v>0</v>
      </c>
      <c r="D9" s="32">
        <f>Ismael!D9+'Alvaro dla Herran'!D9+Urien!D9+'Alvaro lpz de Ocariz'!D9</f>
        <v>0</v>
      </c>
      <c r="E9" s="32">
        <f>Ismael!E9+'Alvaro dla Herran'!E9+Urien!E9+'Alvaro lpz de Ocariz'!E9</f>
        <v>0</v>
      </c>
      <c r="F9" s="32">
        <f>Ismael!F9+'Alvaro dla Herran'!F9+Urien!F9+'Alvaro lpz de Ocariz'!F9</f>
        <v>0</v>
      </c>
      <c r="G9" s="32">
        <f>Ismael!G9+'Alvaro dla Herran'!G9+Urien!G9+'Alvaro lpz de Ocariz'!G9</f>
        <v>0</v>
      </c>
      <c r="H9" s="32">
        <f>Ismael!H9+'Alvaro dla Herran'!H9+Urien!H9+'Alvaro lpz de Ocariz'!H9</f>
        <v>0</v>
      </c>
      <c r="I9" s="32">
        <f>Ismael!I9+'Alvaro dla Herran'!I9+Urien!I9+'Alvaro lpz de Ocariz'!I9</f>
        <v>0</v>
      </c>
      <c r="J9" s="32">
        <f>Ismael!J9+'Alvaro dla Herran'!J9+Urien!J9+'Alvaro lpz de Ocariz'!J9</f>
        <v>2</v>
      </c>
      <c r="K9" s="32">
        <f>Ismael!K9+'Alvaro dla Herran'!K9+Urien!K9+'Alvaro lpz de Ocariz'!K9</f>
        <v>2</v>
      </c>
      <c r="L9" s="32">
        <f>Ismael!L9+'Alvaro dla Herran'!L9+Urien!L9+'Alvaro lpz de Ocariz'!L9</f>
        <v>0</v>
      </c>
      <c r="M9" s="32">
        <f>Ismael!M9+'Alvaro dla Herran'!M9+Urien!M9+'Alvaro lpz de Ocariz'!M9</f>
        <v>0</v>
      </c>
      <c r="N9" s="32">
        <f>Ismael!N9+'Alvaro dla Herran'!N9+Urien!N9+'Alvaro lpz de Ocariz'!N9</f>
        <v>0</v>
      </c>
      <c r="O9" s="32">
        <f>Ismael!O9+'Alvaro dla Herran'!O9+Urien!O9+'Alvaro lpz de Ocariz'!O9</f>
        <v>0</v>
      </c>
      <c r="P9" s="32">
        <f>Ismael!P9+'Alvaro dla Herran'!P9+Urien!P9+'Alvaro lpz de Ocariz'!P9</f>
        <v>0</v>
      </c>
      <c r="Q9" s="32">
        <f>Ismael!Q9+'Alvaro dla Herran'!Q9+Urien!Q9+'Alvaro lpz de Ocariz'!Q9</f>
        <v>0</v>
      </c>
      <c r="R9" s="32">
        <f>Ismael!R9+'Alvaro dla Herran'!R9+Urien!R9+'Alvaro lpz de Ocariz'!R9</f>
        <v>0</v>
      </c>
      <c r="S9" s="11">
        <f t="shared" si="2"/>
        <v>4</v>
      </c>
    </row>
    <row r="10" ht="15.75" customHeight="1">
      <c r="A10" s="30" t="str">
        <f>Gantt!A11</f>
        <v>T9</v>
      </c>
      <c r="B10" s="32">
        <f>Ismael!B10+'Alvaro dla Herran'!B11+Urien!B10+'Alvaro lpz de Ocariz'!B11</f>
        <v>0</v>
      </c>
      <c r="C10" s="32">
        <f>Ismael!C11+'Alvaro dla Herran'!C11+Urien!C10+'Alvaro lpz de Ocariz'!C11</f>
        <v>0</v>
      </c>
      <c r="D10" s="32">
        <f>Ismael!D11+'Alvaro dla Herran'!D11+Urien!D10+'Alvaro lpz de Ocariz'!D11</f>
        <v>0</v>
      </c>
      <c r="E10" s="32">
        <f>Ismael!E11+'Alvaro dla Herran'!E11+Urien!E10+'Alvaro lpz de Ocariz'!E11</f>
        <v>0</v>
      </c>
      <c r="F10" s="32">
        <f>Ismael!F11+'Alvaro dla Herran'!F11+Urien!F10+'Alvaro lpz de Ocariz'!F11</f>
        <v>0</v>
      </c>
      <c r="G10" s="32">
        <f>Ismael!G11+'Alvaro dla Herran'!G11+Urien!G10+'Alvaro lpz de Ocariz'!G11</f>
        <v>0</v>
      </c>
      <c r="H10" s="32">
        <f>Ismael!H11+'Alvaro dla Herran'!H11+Urien!H10+'Alvaro lpz de Ocariz'!H11</f>
        <v>0</v>
      </c>
      <c r="I10" s="32">
        <f>Ismael!I11+'Alvaro dla Herran'!I11+Urien!I10+'Alvaro lpz de Ocariz'!I11</f>
        <v>0</v>
      </c>
      <c r="J10" s="32">
        <f>Ismael!J11+'Alvaro dla Herran'!J11+Urien!J10+'Alvaro lpz de Ocariz'!J11</f>
        <v>0</v>
      </c>
      <c r="K10" s="32">
        <f>Ismael!K11+'Alvaro dla Herran'!K11+Urien!K10+'Alvaro lpz de Ocariz'!K11</f>
        <v>2</v>
      </c>
      <c r="L10" s="32">
        <f>Ismael!L11+'Alvaro dla Herran'!L11+Urien!L10+'Alvaro lpz de Ocariz'!L11</f>
        <v>1</v>
      </c>
      <c r="M10" s="32">
        <f>Ismael!M11+'Alvaro dla Herran'!M11+Urien!M10+'Alvaro lpz de Ocariz'!M11</f>
        <v>0</v>
      </c>
      <c r="N10" s="32">
        <f>Ismael!N11+'Alvaro dla Herran'!N11+Urien!N10+'Alvaro lpz de Ocariz'!N11</f>
        <v>0</v>
      </c>
      <c r="O10" s="32">
        <f>Ismael!O11+'Alvaro dla Herran'!O11+Urien!O10+'Alvaro lpz de Ocariz'!O11</f>
        <v>0</v>
      </c>
      <c r="P10" s="32">
        <f>Ismael!P11+'Alvaro dla Herran'!P11+Urien!P10+'Alvaro lpz de Ocariz'!P11</f>
        <v>0</v>
      </c>
      <c r="Q10" s="32">
        <f>Ismael!Q11+'Alvaro dla Herran'!Q11+Urien!Q10+'Alvaro lpz de Ocariz'!Q11</f>
        <v>0</v>
      </c>
      <c r="R10" s="32">
        <f>Ismael!R11+'Alvaro dla Herran'!R11+Urien!R10+'Alvaro lpz de Ocariz'!R11</f>
        <v>0</v>
      </c>
      <c r="S10" s="11">
        <f t="shared" si="2"/>
        <v>3</v>
      </c>
    </row>
    <row r="11" ht="15.75" customHeight="1">
      <c r="A11" s="30" t="str">
        <f>Gantt!A12</f>
        <v>T10</v>
      </c>
      <c r="B11" s="32">
        <f>Ismael!B11+'Alvaro dla Herran'!B11+Urien!B11+'Alvaro lpz de Ocariz'!B12</f>
        <v>0</v>
      </c>
      <c r="C11" s="32">
        <f>Ismael!C11+'Alvaro dla Herran'!C11+Urien!C10+'Alvaro lpz de Ocariz'!C11</f>
        <v>0</v>
      </c>
      <c r="D11" s="32">
        <f>Ismael!D11+'Alvaro dla Herran'!D11+Urien!D10+'Alvaro lpz de Ocariz'!D11</f>
        <v>0</v>
      </c>
      <c r="E11" s="32">
        <f>Ismael!E11+'Alvaro dla Herran'!E11+Urien!E10+'Alvaro lpz de Ocariz'!E11</f>
        <v>0</v>
      </c>
      <c r="F11" s="32">
        <f>Ismael!F11+'Alvaro dla Herran'!F11+Urien!F10+'Alvaro lpz de Ocariz'!F11</f>
        <v>0</v>
      </c>
      <c r="G11" s="32">
        <f>Ismael!G11+'Alvaro dla Herran'!G11+Urien!G10+'Alvaro lpz de Ocariz'!G11</f>
        <v>0</v>
      </c>
      <c r="H11" s="32">
        <f>Ismael!H11+'Alvaro dla Herran'!H11+Urien!H10+'Alvaro lpz de Ocariz'!H11</f>
        <v>0</v>
      </c>
      <c r="I11" s="32">
        <f>Ismael!I11+'Alvaro dla Herran'!I11+Urien!I10+'Alvaro lpz de Ocariz'!I11</f>
        <v>0</v>
      </c>
      <c r="J11" s="32">
        <f>Ismael!J11+'Alvaro dla Herran'!J11+Urien!J10+'Alvaro lpz de Ocariz'!J11</f>
        <v>0</v>
      </c>
      <c r="K11" s="32">
        <f>Ismael!K11+'Alvaro dla Herran'!K11+Urien!K10+'Alvaro lpz de Ocariz'!K11</f>
        <v>2</v>
      </c>
      <c r="L11" s="32">
        <f>Ismael!L11+'Alvaro dla Herran'!L11+Urien!L10+'Alvaro lpz de Ocariz'!L11</f>
        <v>1</v>
      </c>
      <c r="M11" s="32">
        <f>Ismael!M11+'Alvaro dla Herran'!M11+Urien!M10+'Alvaro lpz de Ocariz'!M11</f>
        <v>0</v>
      </c>
      <c r="N11" s="32">
        <f>Ismael!N11+'Alvaro dla Herran'!N11+Urien!N10+'Alvaro lpz de Ocariz'!N11</f>
        <v>0</v>
      </c>
      <c r="O11" s="32">
        <f>Ismael!O11+'Alvaro dla Herran'!O11+Urien!O10+'Alvaro lpz de Ocariz'!O11</f>
        <v>0</v>
      </c>
      <c r="P11" s="32">
        <f>Ismael!P11+'Alvaro dla Herran'!P11+Urien!P10+'Alvaro lpz de Ocariz'!P11</f>
        <v>0</v>
      </c>
      <c r="Q11" s="32">
        <f>Ismael!Q11+'Alvaro dla Herran'!Q11+Urien!Q10+'Alvaro lpz de Ocariz'!Q11</f>
        <v>0</v>
      </c>
      <c r="R11" s="32">
        <f>Ismael!R11+'Alvaro dla Herran'!R11+Urien!R10+'Alvaro lpz de Ocariz'!R11</f>
        <v>0</v>
      </c>
      <c r="S11" s="11">
        <f t="shared" si="2"/>
        <v>3</v>
      </c>
    </row>
    <row r="12" ht="15.75" customHeight="1">
      <c r="A12" s="30" t="str">
        <f>Gantt!A13</f>
        <v>T11</v>
      </c>
      <c r="B12" s="32">
        <f>Ismael!B12+'Alvaro dla Herran'!B12+Urien!B12+'Alvaro lpz de Ocariz'!B12</f>
        <v>0</v>
      </c>
      <c r="C12" s="32">
        <f>Ismael!C12+'Alvaro dla Herran'!C12+Urien!C12+'Alvaro lpz de Ocariz'!C12</f>
        <v>0</v>
      </c>
      <c r="D12" s="32">
        <f>Ismael!D12+'Alvaro dla Herran'!D12+Urien!D12+'Alvaro lpz de Ocariz'!D12</f>
        <v>0</v>
      </c>
      <c r="E12" s="32">
        <f>Ismael!E12+'Alvaro dla Herran'!E12+Urien!E12+'Alvaro lpz de Ocariz'!E12</f>
        <v>0</v>
      </c>
      <c r="F12" s="32">
        <f>Ismael!F12+'Alvaro dla Herran'!F12+Urien!F12+'Alvaro lpz de Ocariz'!F12</f>
        <v>0</v>
      </c>
      <c r="G12" s="32">
        <f>Ismael!G12+'Alvaro dla Herran'!G12+Urien!G12+'Alvaro lpz de Ocariz'!G12</f>
        <v>0</v>
      </c>
      <c r="H12" s="32">
        <f>Ismael!H12+'Alvaro dla Herran'!H12+Urien!H12+'Alvaro lpz de Ocariz'!H12</f>
        <v>2</v>
      </c>
      <c r="I12" s="32">
        <f>Ismael!I12+'Alvaro dla Herran'!I12+Urien!I12+'Alvaro lpz de Ocariz'!I12</f>
        <v>0</v>
      </c>
      <c r="J12" s="32">
        <f>Ismael!J12+'Alvaro dla Herran'!J12+Urien!J12+'Alvaro lpz de Ocariz'!J12</f>
        <v>1</v>
      </c>
      <c r="K12" s="32">
        <f>Ismael!K12+'Alvaro dla Herran'!K12+Urien!K12+'Alvaro lpz de Ocariz'!K12</f>
        <v>0</v>
      </c>
      <c r="L12" s="32">
        <f>Ismael!L12+'Alvaro dla Herran'!L12+Urien!L12+'Alvaro lpz de Ocariz'!L12</f>
        <v>0</v>
      </c>
      <c r="M12" s="32">
        <f>Ismael!M12+'Alvaro dla Herran'!M12+Urien!M12+'Alvaro lpz de Ocariz'!M12</f>
        <v>0</v>
      </c>
      <c r="N12" s="32">
        <f>Ismael!N12+'Alvaro dla Herran'!N12+Urien!N12+'Alvaro lpz de Ocariz'!N12</f>
        <v>0</v>
      </c>
      <c r="O12" s="32">
        <f>Ismael!O12+'Alvaro dla Herran'!O12+Urien!O12+VO12</f>
        <v>0</v>
      </c>
      <c r="P12" s="32">
        <f>Ismael!P12+'Alvaro dla Herran'!P12+Urien!P12+'Alvaro lpz de Ocariz'!P12</f>
        <v>0</v>
      </c>
      <c r="Q12" s="32">
        <f>Ismael!Q12+'Alvaro dla Herran'!Q12+Urien!Q12+'Alvaro lpz de Ocariz'!Q12</f>
        <v>0</v>
      </c>
      <c r="R12" s="32">
        <f>Ismael!R12+'Alvaro dla Herran'!R12+Urien!R12+'Alvaro lpz de Ocariz'!R12</f>
        <v>0</v>
      </c>
      <c r="S12" s="11">
        <f t="shared" si="2"/>
        <v>3</v>
      </c>
    </row>
    <row r="13" ht="15.75" customHeight="1">
      <c r="A13" s="30" t="str">
        <f>Gantt!A14</f>
        <v>T12</v>
      </c>
      <c r="B13" s="32">
        <f>Ismael!B13+'Alvaro dla Herran'!B13+Urien!B13+'Alvaro lpz de Ocariz'!B13</f>
        <v>0</v>
      </c>
      <c r="C13" s="32">
        <f>Ismael!C13+'Alvaro dla Herran'!C13+Urien!C13+'Alvaro lpz de Ocariz'!C13</f>
        <v>0</v>
      </c>
      <c r="D13" s="32">
        <f>Ismael!D13+'Alvaro dla Herran'!D13+Urien!D13+'Alvaro lpz de Ocariz'!D13</f>
        <v>0</v>
      </c>
      <c r="E13" s="32">
        <f>Ismael!E13+'Alvaro dla Herran'!E13+Urien!E13+'Alvaro lpz de Ocariz'!E13</f>
        <v>0</v>
      </c>
      <c r="F13" s="32">
        <f>Ismael!F13+'Alvaro dla Herran'!F13+Urien!F13+'Alvaro lpz de Ocariz'!F13</f>
        <v>0</v>
      </c>
      <c r="G13" s="32">
        <f>Ismael!G13+'Alvaro dla Herran'!G13+Urien!G13+'Alvaro lpz de Ocariz'!G13</f>
        <v>0</v>
      </c>
      <c r="H13" s="32">
        <f>Ismael!H13+'Alvaro dla Herran'!H13+Urien!H13+'Alvaro lpz de Ocariz'!H13</f>
        <v>0</v>
      </c>
      <c r="I13" s="32">
        <f>Ismael!I13+'Alvaro dla Herran'!I13+Urien!I13+'Alvaro lpz de Ocariz'!I13</f>
        <v>4</v>
      </c>
      <c r="J13" s="32">
        <f>Ismael!J13+'Alvaro dla Herran'!J13+Urien!J13+'Alvaro lpz de Ocariz'!J13</f>
        <v>5</v>
      </c>
      <c r="K13" s="32">
        <f>Ismael!K13+'Alvaro dla Herran'!K13+Urien!K13+'Alvaro lpz de Ocariz'!K13</f>
        <v>8</v>
      </c>
      <c r="L13" s="32">
        <f>Ismael!L13+'Alvaro dla Herran'!L13+Urien!L13+'Alvaro lpz de Ocariz'!L13</f>
        <v>5</v>
      </c>
      <c r="M13" s="32">
        <f>Ismael!M13+'Alvaro dla Herran'!M13+Urien!M13+'Alvaro lpz de Ocariz'!M13</f>
        <v>0</v>
      </c>
      <c r="N13" s="32">
        <f>Ismael!N13+'Alvaro dla Herran'!N13+Urien!N13+'Alvaro lpz de Ocariz'!N13</f>
        <v>0</v>
      </c>
      <c r="O13" s="32">
        <f>Ismael!O13+'Alvaro dla Herran'!O13+Urien!O13+'Alvaro lpz de Ocariz'!O13</f>
        <v>0</v>
      </c>
      <c r="P13" s="32">
        <f>Ismael!P13+'Alvaro dla Herran'!P13+Urien!P13+'Alvaro lpz de Ocariz'!P13</f>
        <v>0</v>
      </c>
      <c r="Q13" s="32">
        <f>Ismael!Q13+'Alvaro dla Herran'!Q13+Urien!Q13+'Alvaro lpz de Ocariz'!Q13</f>
        <v>0</v>
      </c>
      <c r="R13" s="32">
        <f>Ismael!R13+'Alvaro dla Herran'!R13+Urien!R13+'Alvaro lpz de Ocariz'!R13</f>
        <v>0</v>
      </c>
      <c r="S13" s="11">
        <f t="shared" si="2"/>
        <v>22</v>
      </c>
    </row>
    <row r="14" ht="15.75" customHeight="1">
      <c r="A14" s="14" t="s">
        <v>31</v>
      </c>
      <c r="B14" s="32">
        <f>Ismael!B14+'Alvaro dla Herran'!B14+Urien!B14+'Alvaro lpz de Ocariz'!B14</f>
        <v>0</v>
      </c>
      <c r="C14" s="32">
        <f>Ismael!C14+'Alvaro dla Herran'!C14+Urien!C14+'Alvaro lpz de Ocariz'!C14</f>
        <v>0</v>
      </c>
      <c r="D14" s="32">
        <f>Ismael!D14+'Alvaro dla Herran'!D14+Urien!D14+'Alvaro lpz de Ocariz'!D14</f>
        <v>0</v>
      </c>
      <c r="E14" s="32">
        <f>Ismael!E14+'Alvaro dla Herran'!E14+Urien!E14+'Alvaro lpz de Ocariz'!E14</f>
        <v>0</v>
      </c>
      <c r="F14" s="32">
        <f>Ismael!F14+'Alvaro dla Herran'!F14+Urien!F14+'Alvaro lpz de Ocariz'!F14</f>
        <v>0</v>
      </c>
      <c r="G14" s="32">
        <f>Ismael!G14+'Alvaro dla Herran'!G14+Urien!G14+'Alvaro lpz de Ocariz'!G14</f>
        <v>0</v>
      </c>
      <c r="H14" s="32">
        <f>Ismael!H14+'Alvaro dla Herran'!H14+Urien!H14+'Alvaro lpz de Ocariz'!H14</f>
        <v>0</v>
      </c>
      <c r="I14" s="32">
        <f>Ismael!I14+'Alvaro dla Herran'!I14+Urien!I14+'Alvaro lpz de Ocariz'!I14</f>
        <v>0</v>
      </c>
      <c r="J14" s="32">
        <f>Ismael!J14+'Alvaro dla Herran'!J14+Urien!J14+'Alvaro lpz de Ocariz'!J14</f>
        <v>0</v>
      </c>
      <c r="K14" s="32">
        <f>Ismael!K14+'Alvaro dla Herran'!K14+Urien!K14+'Alvaro lpz de Ocariz'!K14</f>
        <v>2</v>
      </c>
      <c r="L14" s="32">
        <f>Ismael!L14+'Alvaro dla Herran'!L14+Urien!L14+'Alvaro lpz de Ocariz'!L14</f>
        <v>0</v>
      </c>
      <c r="M14" s="32">
        <f>Ismael!M14+'Alvaro dla Herran'!M14+Urien!M14+'Alvaro lpz de Ocariz'!M14</f>
        <v>0</v>
      </c>
      <c r="N14" s="32">
        <f>Ismael!B14+'Alvaro dla Herran'!B14+Urien!B14+'Alvaro lpz de Ocariz'!B14</f>
        <v>0</v>
      </c>
      <c r="O14" s="32">
        <f>Ismael!O14+'Alvaro dla Herran'!O14+Urien!O14+'Alvaro lpz de Ocariz'!O14</f>
        <v>0</v>
      </c>
      <c r="P14" s="32">
        <f>Ismael!P14+'Alvaro dla Herran'!P14+Urien!P14+'Alvaro lpz de Ocariz'!P14</f>
        <v>3</v>
      </c>
      <c r="Q14" s="32">
        <f>Ismael!Q14+'Alvaro dla Herran'!Q14+Urien!Q14+'Alvaro lpz de Ocariz'!Q14</f>
        <v>0</v>
      </c>
      <c r="R14" s="32">
        <f>Ismael!Q14+'Alvaro dla Herran'!Q14+Urien!Q14+'Alvaro lpz de Ocariz'!Q14</f>
        <v>0</v>
      </c>
      <c r="S14" s="11">
        <f t="shared" si="2"/>
        <v>5</v>
      </c>
    </row>
    <row r="15" ht="15.75" customHeight="1">
      <c r="A15" s="30" t="str">
        <f>Gantt!A16</f>
        <v>T14</v>
      </c>
      <c r="B15" s="32">
        <f>Ismael!B15+'Alvaro dla Herran'!B14+Urien!B14+'Alvaro lpz de Ocariz'!B15</f>
        <v>0</v>
      </c>
      <c r="C15" s="32">
        <f>Ismael!C15+'Alvaro dla Herran'!C14+Urien!C14+'Alvaro lpz de Ocariz'!C15</f>
        <v>0</v>
      </c>
      <c r="D15" s="32">
        <f>Ismael!D15+'Alvaro dla Herran'!D14+Urien!D14+'Alvaro lpz de Ocariz'!D15</f>
        <v>0</v>
      </c>
      <c r="E15" s="32">
        <f>Ismael!E15+'Alvaro dla Herran'!E14+Urien!E14+'Alvaro lpz de Ocariz'!E15</f>
        <v>0</v>
      </c>
      <c r="F15" s="32">
        <f>Ismael!F15+'Alvaro dla Herran'!F14+Urien!F14+'Alvaro lpz de Ocariz'!F15</f>
        <v>0</v>
      </c>
      <c r="G15" s="32">
        <f>Ismael!G15+'Alvaro dla Herran'!G14+Urien!G14+'Alvaro lpz de Ocariz'!G15</f>
        <v>0</v>
      </c>
      <c r="H15" s="32">
        <f>Ismael!H15+'Alvaro dla Herran'!H14+Urien!H14+'Alvaro lpz de Ocariz'!H15</f>
        <v>0</v>
      </c>
      <c r="I15" s="32">
        <f>Ismael!I15+'Alvaro dla Herran'!I14+Urien!I14+'Alvaro lpz de Ocariz'!I15</f>
        <v>0</v>
      </c>
      <c r="J15" s="32">
        <f>Ismael!J15+'Alvaro dla Herran'!J14+Urien!J14+'Alvaro lpz de Ocariz'!J15</f>
        <v>0</v>
      </c>
      <c r="K15" s="32">
        <f>Ismael!K15+'Alvaro dla Herran'!K14+Urien!K14+'Alvaro lpz de Ocariz'!K15</f>
        <v>5</v>
      </c>
      <c r="L15" s="32">
        <f>Ismael!L15+'Alvaro dla Herran'!L14+Urien!L14+'Alvaro lpz de Ocariz'!L15</f>
        <v>0</v>
      </c>
      <c r="M15" s="32">
        <f>Ismael!M15+'Alvaro dla Herran'!M14+Urien!M14+'Alvaro lpz de Ocariz'!M15</f>
        <v>0</v>
      </c>
      <c r="N15" s="32">
        <f>Ismael!N15+'Alvaro dla Herran'!N14+Urien!N14+'Alvaro lpz de Ocariz'!N15</f>
        <v>0</v>
      </c>
      <c r="O15" s="32">
        <f>Ismael!O15+'Alvaro dla Herran'!O14+Urien!O14+'Alvaro lpz de Ocariz'!O15</f>
        <v>1</v>
      </c>
      <c r="P15" s="32">
        <f>Ismael!P15+'Alvaro dla Herran'!P14+Urien!P14+'Alvaro lpz de Ocariz'!P15</f>
        <v>3</v>
      </c>
      <c r="Q15" s="32">
        <f>Ismael!Q15+'Alvaro dla Herran'!Q14+Urien!Q14+'Alvaro lpz de Ocariz'!Q15</f>
        <v>0</v>
      </c>
      <c r="R15" s="32">
        <f>Ismael!R15+'Alvaro dla Herran'!R14+Urien!R14+'Alvaro lpz de Ocariz'!R15</f>
        <v>0</v>
      </c>
      <c r="S15" s="11">
        <f t="shared" si="2"/>
        <v>9</v>
      </c>
    </row>
    <row r="16" ht="15.75" customHeight="1">
      <c r="A16" s="14" t="s">
        <v>35</v>
      </c>
      <c r="B16" s="31">
        <f>Ismael!B16+'Alvaro dla Herran'!B16+Urien!B16+'Alvaro lpz de Ocariz'!B16</f>
        <v>0</v>
      </c>
      <c r="C16" s="32">
        <f>Ismael!C16+'Alvaro dla Herran'!C16+Urien!C16+'Alvaro lpz de Ocariz'!C16</f>
        <v>0</v>
      </c>
      <c r="D16" s="32">
        <f>Ismael!D16+'Alvaro dla Herran'!D16+Urien!D16+'Alvaro lpz de Ocariz'!D16</f>
        <v>0</v>
      </c>
      <c r="E16" s="32">
        <f>Ismael!E16+'Alvaro dla Herran'!E16+Urien!E16+'Alvaro lpz de Ocariz'!E16</f>
        <v>0</v>
      </c>
      <c r="F16" s="32">
        <f>Ismael!F16+'Alvaro dla Herran'!F16+Urien!F16+'Alvaro lpz de Ocariz'!F16</f>
        <v>0</v>
      </c>
      <c r="G16" s="32">
        <f>Ismael!G16+'Alvaro dla Herran'!G16+Urien!G16+'Alvaro lpz de Ocariz'!G16</f>
        <v>0</v>
      </c>
      <c r="H16" s="32">
        <f>Ismael!H16+'Alvaro dla Herran'!H16+Urien!H16+'Alvaro lpz de Ocariz'!H16</f>
        <v>0</v>
      </c>
      <c r="I16" s="32">
        <f>Ismael!I16+'Alvaro dla Herran'!I16+Urien!I16+'Alvaro lpz de Ocariz'!I16</f>
        <v>0</v>
      </c>
      <c r="J16" s="32">
        <f>Ismael!J16+'Alvaro dla Herran'!J16+Urien!J16+'Alvaro lpz de Ocariz'!J16</f>
        <v>0</v>
      </c>
      <c r="K16" s="32">
        <f>Ismael!K16+'Alvaro dla Herran'!K16+Urien!K16+'Alvaro lpz de Ocariz'!K16</f>
        <v>0</v>
      </c>
      <c r="L16" s="32">
        <f>Ismael!L16+'Alvaro dla Herran'!L16+Urien!L16+'Alvaro lpz de Ocariz'!L16</f>
        <v>0</v>
      </c>
      <c r="M16" s="32">
        <f>Ismael!M16+'Alvaro dla Herran'!M16+Urien!M16+'Alvaro lpz de Ocariz'!M16</f>
        <v>0</v>
      </c>
      <c r="N16" s="32">
        <f>Ismael!N16+'Alvaro dla Herran'!N16+Urien!N16+'Alvaro lpz de Ocariz'!N16</f>
        <v>0</v>
      </c>
      <c r="O16" s="32">
        <f>Ismael!C16+'Alvaro dla Herran'!C16+Urien!C16+'Alvaro lpz de Ocariz'!C16</f>
        <v>0</v>
      </c>
      <c r="P16" s="32">
        <f>Ismael!P16+'Alvaro dla Herran'!P16+Urien!P16+'Alvaro lpz de Ocariz'!P16</f>
        <v>1</v>
      </c>
      <c r="Q16" s="32">
        <f>Ismael!Q16+'Alvaro dla Herran'!Q16+Urien!Q16+'Alvaro lpz de Ocariz'!Q16</f>
        <v>1</v>
      </c>
      <c r="R16" s="32">
        <f>Ismael!R16+'Alvaro dla Herran'!R16+Urien!R16+'Alvaro lpz de Ocariz'!R16</f>
        <v>0</v>
      </c>
      <c r="S16" s="11">
        <f t="shared" si="2"/>
        <v>2</v>
      </c>
    </row>
    <row r="17" ht="15.75" customHeight="1">
      <c r="A17" s="14" t="s">
        <v>37</v>
      </c>
      <c r="B17" s="32">
        <f>Ismael!B17+'Alvaro dla Herran'!B17+Urien!B17+'Alvaro lpz de Ocariz'!B17</f>
        <v>0</v>
      </c>
      <c r="C17" s="32">
        <f>Ismael!C17+'Alvaro dla Herran'!C17+Urien!C17+'Alvaro lpz de Ocariz'!C17</f>
        <v>0</v>
      </c>
      <c r="D17" s="32">
        <f>Ismael!D17+'Alvaro dla Herran'!D17+Urien!D17+'Alvaro lpz de Ocariz'!D17</f>
        <v>0</v>
      </c>
      <c r="E17" s="32">
        <f>Ismael!E17+'Alvaro dla Herran'!E17+Urien!E17+'Alvaro lpz de Ocariz'!E17</f>
        <v>0</v>
      </c>
      <c r="F17" s="32">
        <f>Ismael!F17+'Alvaro dla Herran'!F17+Urien!F17+'Alvaro lpz de Ocariz'!F17</f>
        <v>0</v>
      </c>
      <c r="G17" s="32">
        <f>Ismael!G17+'Alvaro dla Herran'!G17+Urien!G17+'Alvaro lpz de Ocariz'!G17</f>
        <v>0</v>
      </c>
      <c r="H17" s="32">
        <f>Ismael!H17+'Alvaro dla Herran'!H17+Urien!H17+'Alvaro lpz de Ocariz'!H17</f>
        <v>0</v>
      </c>
      <c r="I17" s="32">
        <f>Ismael!I17+'Alvaro dla Herran'!I17+Urien!I17+'Alvaro lpz de Ocariz'!I17</f>
        <v>0</v>
      </c>
      <c r="J17" s="32">
        <f>Ismael!J17+'Alvaro dla Herran'!J17+Urien!J17+'Alvaro lpz de Ocariz'!J17</f>
        <v>0</v>
      </c>
      <c r="K17" s="32">
        <f>Ismael!K17+'Alvaro dla Herran'!K17+Urien!K17+'Alvaro lpz de Ocariz'!K17</f>
        <v>0</v>
      </c>
      <c r="L17" s="32">
        <f>Ismael!L17+'Alvaro dla Herran'!L17+Urien!L17+'Alvaro lpz de Ocariz'!L17</f>
        <v>0</v>
      </c>
      <c r="M17" s="32">
        <f>Ismael!M17+'Alvaro dla Herran'!M17+Urien!M17+'Alvaro lpz de Ocariz'!M17</f>
        <v>0</v>
      </c>
      <c r="N17" s="32">
        <f>Ismael!N17+'Alvaro dla Herran'!N17+Urien!N17+'Alvaro lpz de Ocariz'!N17</f>
        <v>0</v>
      </c>
      <c r="O17" s="32">
        <f>Ismael!O17+'Alvaro dla Herran'!O17+Urien!O17+'Alvaro lpz de Ocariz'!O17</f>
        <v>0</v>
      </c>
      <c r="P17" s="32">
        <f>Ismael!P17+'Alvaro dla Herran'!P17+Urien!P17+'Alvaro lpz de Ocariz'!P17</f>
        <v>0</v>
      </c>
      <c r="Q17" s="32">
        <f>Ismael!Q17+'Alvaro dla Herran'!Q17+Urien!Q17+'Alvaro lpz de Ocariz'!Q17</f>
        <v>2</v>
      </c>
      <c r="R17" s="32">
        <f>Ismael!R17+'Alvaro dla Herran'!R17+Urien!R17+'Alvaro lpz de Ocariz'!R17</f>
        <v>0</v>
      </c>
      <c r="S17" s="11">
        <f t="shared" si="2"/>
        <v>2</v>
      </c>
    </row>
    <row r="18" ht="15.75" customHeight="1">
      <c r="A18" s="33" t="s">
        <v>39</v>
      </c>
      <c r="B18" s="11">
        <f t="shared" ref="B18:R18" si="3">SUM(B2:B17)</f>
        <v>0</v>
      </c>
      <c r="C18" s="11">
        <f t="shared" si="3"/>
        <v>1</v>
      </c>
      <c r="D18" s="11">
        <f t="shared" si="3"/>
        <v>5</v>
      </c>
      <c r="E18" s="11">
        <f t="shared" si="3"/>
        <v>5</v>
      </c>
      <c r="F18" s="11">
        <f t="shared" si="3"/>
        <v>7</v>
      </c>
      <c r="G18" s="11">
        <f t="shared" si="3"/>
        <v>9</v>
      </c>
      <c r="H18" s="11">
        <f t="shared" si="3"/>
        <v>7</v>
      </c>
      <c r="I18" s="11">
        <f t="shared" si="3"/>
        <v>5</v>
      </c>
      <c r="J18" s="11">
        <f t="shared" si="3"/>
        <v>10</v>
      </c>
      <c r="K18" s="11">
        <f t="shared" si="3"/>
        <v>21</v>
      </c>
      <c r="L18" s="11">
        <f t="shared" si="3"/>
        <v>7</v>
      </c>
      <c r="M18" s="11">
        <f t="shared" si="3"/>
        <v>0</v>
      </c>
      <c r="N18" s="11">
        <f t="shared" si="3"/>
        <v>0</v>
      </c>
      <c r="O18" s="11">
        <f t="shared" si="3"/>
        <v>1</v>
      </c>
      <c r="P18" s="11">
        <f t="shared" si="3"/>
        <v>7</v>
      </c>
      <c r="Q18" s="11">
        <f t="shared" si="3"/>
        <v>3</v>
      </c>
      <c r="R18" s="11">
        <f t="shared" si="3"/>
        <v>0</v>
      </c>
      <c r="S18" s="11">
        <f t="shared" si="2"/>
        <v>88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4" t="s">
        <v>3</v>
      </c>
      <c r="B1" s="9">
        <f>Gantt!C2</f>
        <v>45933</v>
      </c>
      <c r="C1" s="9">
        <f t="shared" ref="C1:R1" si="1">B1+7</f>
        <v>45940</v>
      </c>
      <c r="D1" s="9">
        <f t="shared" si="1"/>
        <v>45947</v>
      </c>
      <c r="E1" s="9">
        <f t="shared" si="1"/>
        <v>45954</v>
      </c>
      <c r="F1" s="9">
        <f t="shared" si="1"/>
        <v>45961</v>
      </c>
      <c r="G1" s="9">
        <f t="shared" si="1"/>
        <v>45968</v>
      </c>
      <c r="H1" s="9">
        <f t="shared" si="1"/>
        <v>45975</v>
      </c>
      <c r="I1" s="9">
        <f t="shared" si="1"/>
        <v>45982</v>
      </c>
      <c r="J1" s="9">
        <f t="shared" si="1"/>
        <v>45989</v>
      </c>
      <c r="K1" s="9">
        <f t="shared" si="1"/>
        <v>45996</v>
      </c>
      <c r="L1" s="9">
        <f t="shared" si="1"/>
        <v>46003</v>
      </c>
      <c r="M1" s="9">
        <f t="shared" si="1"/>
        <v>46010</v>
      </c>
      <c r="N1" s="9">
        <f t="shared" si="1"/>
        <v>46017</v>
      </c>
      <c r="O1" s="9">
        <f t="shared" si="1"/>
        <v>46024</v>
      </c>
      <c r="P1" s="9">
        <f t="shared" si="1"/>
        <v>46031</v>
      </c>
      <c r="Q1" s="9">
        <f t="shared" si="1"/>
        <v>46038</v>
      </c>
      <c r="R1" s="9">
        <f t="shared" si="1"/>
        <v>46045</v>
      </c>
      <c r="S1" s="29" t="s">
        <v>40</v>
      </c>
    </row>
    <row r="2" ht="15.75" customHeight="1">
      <c r="A2" s="35" t="str">
        <f>Gantt!A3</f>
        <v>T1</v>
      </c>
      <c r="B2" s="15"/>
      <c r="C2" s="17"/>
      <c r="D2" s="17"/>
      <c r="E2" s="16">
        <v>1.0</v>
      </c>
      <c r="F2" s="17"/>
      <c r="G2" s="17"/>
      <c r="H2" s="17"/>
      <c r="I2" s="16">
        <v>1.0</v>
      </c>
      <c r="J2" s="16">
        <v>2.0</v>
      </c>
      <c r="K2" s="17"/>
      <c r="L2" s="17"/>
      <c r="M2" s="17"/>
      <c r="N2" s="17"/>
      <c r="O2" s="17"/>
      <c r="P2" s="17"/>
      <c r="Q2" s="17"/>
      <c r="R2" s="17"/>
      <c r="S2" s="11">
        <f t="shared" ref="S2:S17" si="2">SUM(B2:R2)</f>
        <v>4</v>
      </c>
    </row>
    <row r="3" ht="15.75" customHeight="1">
      <c r="A3" s="35" t="str">
        <f>Gantt!A4</f>
        <v>T2</v>
      </c>
      <c r="B3" s="16"/>
      <c r="C3" s="16"/>
      <c r="D3" s="16"/>
      <c r="E3" s="17"/>
      <c r="F3" s="17"/>
      <c r="G3" s="17"/>
      <c r="H3" s="16"/>
      <c r="I3" s="17"/>
      <c r="J3" s="16"/>
      <c r="K3" s="17"/>
      <c r="L3" s="17"/>
      <c r="M3" s="17"/>
      <c r="N3" s="17"/>
      <c r="O3" s="17"/>
      <c r="P3" s="17"/>
      <c r="Q3" s="17"/>
      <c r="R3" s="17"/>
      <c r="S3" s="11">
        <f t="shared" si="2"/>
        <v>0</v>
      </c>
    </row>
    <row r="4" ht="15.75" customHeight="1">
      <c r="A4" s="35" t="str">
        <f>Gantt!A5</f>
        <v>T3</v>
      </c>
      <c r="B4" s="16"/>
      <c r="C4" s="17"/>
      <c r="D4" s="16">
        <v>2.0</v>
      </c>
      <c r="E4" s="16"/>
      <c r="F4" s="16">
        <v>1.0</v>
      </c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3</v>
      </c>
    </row>
    <row r="5" ht="15.75" customHeight="1">
      <c r="A5" s="35" t="str">
        <f>Gantt!A6</f>
        <v>T4</v>
      </c>
      <c r="B5" s="17"/>
      <c r="C5" s="17"/>
      <c r="D5" s="16"/>
      <c r="E5" s="16"/>
      <c r="F5" s="16"/>
      <c r="G5" s="16"/>
      <c r="H5" s="16"/>
      <c r="I5" s="16"/>
      <c r="J5" s="16"/>
      <c r="K5" s="17"/>
      <c r="L5" s="17"/>
      <c r="M5" s="17"/>
      <c r="N5" s="17"/>
      <c r="O5" s="17"/>
      <c r="P5" s="17"/>
      <c r="Q5" s="17"/>
      <c r="R5" s="17"/>
      <c r="S5" s="11">
        <f t="shared" si="2"/>
        <v>0</v>
      </c>
    </row>
    <row r="6" ht="15.75" customHeight="1">
      <c r="A6" s="35" t="str">
        <f>Gantt!A7</f>
        <v>T5</v>
      </c>
      <c r="B6" s="17"/>
      <c r="C6" s="17"/>
      <c r="D6" s="16"/>
      <c r="E6" s="16"/>
      <c r="F6" s="16">
        <v>1.0</v>
      </c>
      <c r="G6" s="16">
        <v>3.0</v>
      </c>
      <c r="H6" s="16"/>
      <c r="I6" s="17"/>
      <c r="J6" s="16"/>
      <c r="K6" s="16"/>
      <c r="L6" s="16"/>
      <c r="M6" s="17"/>
      <c r="N6" s="17"/>
      <c r="O6" s="17"/>
      <c r="P6" s="17"/>
      <c r="Q6" s="17"/>
      <c r="R6" s="17"/>
      <c r="S6" s="11">
        <f t="shared" si="2"/>
        <v>4</v>
      </c>
    </row>
    <row r="7" ht="15.75" customHeight="1">
      <c r="A7" s="35" t="str">
        <f>Gantt!A8</f>
        <v>T6</v>
      </c>
      <c r="B7" s="16"/>
      <c r="C7" s="17"/>
      <c r="D7" s="17"/>
      <c r="E7" s="17"/>
      <c r="F7" s="16"/>
      <c r="G7" s="16"/>
      <c r="H7" s="17"/>
      <c r="I7" s="17"/>
      <c r="J7" s="17"/>
      <c r="K7" s="17"/>
      <c r="L7" s="16"/>
      <c r="M7" s="16"/>
      <c r="N7" s="17"/>
      <c r="O7" s="17"/>
      <c r="P7" s="17"/>
      <c r="Q7" s="16"/>
      <c r="R7" s="17"/>
      <c r="S7" s="11">
        <f t="shared" si="2"/>
        <v>0</v>
      </c>
    </row>
    <row r="8" ht="15.75" customHeight="1">
      <c r="A8" s="35" t="str">
        <f>Gantt!A9</f>
        <v>T7</v>
      </c>
      <c r="B8" s="17"/>
      <c r="C8" s="17"/>
      <c r="D8" s="17"/>
      <c r="E8" s="17"/>
      <c r="F8" s="16"/>
      <c r="G8" s="16"/>
      <c r="H8" s="17"/>
      <c r="I8" s="17"/>
      <c r="J8" s="17"/>
      <c r="K8" s="17"/>
      <c r="L8" s="17"/>
      <c r="M8" s="16"/>
      <c r="N8" s="16"/>
      <c r="O8" s="17"/>
      <c r="P8" s="17"/>
      <c r="Q8" s="17"/>
      <c r="R8" s="17"/>
      <c r="S8" s="11">
        <f t="shared" si="2"/>
        <v>0</v>
      </c>
    </row>
    <row r="9" ht="15.75" customHeight="1">
      <c r="A9" s="35" t="str">
        <f>Gantt!A10</f>
        <v>T8</v>
      </c>
      <c r="B9" s="17"/>
      <c r="C9" s="17"/>
      <c r="D9" s="17"/>
      <c r="E9" s="17"/>
      <c r="F9" s="17"/>
      <c r="G9" s="17"/>
      <c r="H9" s="17"/>
      <c r="I9" s="17"/>
      <c r="J9" s="16"/>
      <c r="K9" s="17"/>
      <c r="L9" s="17"/>
      <c r="M9" s="17"/>
      <c r="N9" s="16"/>
      <c r="O9" s="16"/>
      <c r="P9" s="17"/>
      <c r="Q9" s="17"/>
      <c r="R9" s="17"/>
      <c r="S9" s="11">
        <f t="shared" si="2"/>
        <v>0</v>
      </c>
    </row>
    <row r="10" ht="15.75" customHeight="1">
      <c r="A10" s="35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  <c r="O10" s="16"/>
      <c r="P10" s="17"/>
      <c r="Q10" s="17"/>
      <c r="R10" s="17"/>
      <c r="S10" s="11">
        <f t="shared" si="2"/>
        <v>0</v>
      </c>
    </row>
    <row r="11" ht="15.75" customHeight="1">
      <c r="A11" s="35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16"/>
      <c r="Q11" s="17"/>
      <c r="R11" s="17"/>
      <c r="S11" s="11">
        <f t="shared" si="2"/>
        <v>0</v>
      </c>
    </row>
    <row r="12" ht="15.75" customHeight="1">
      <c r="A12" s="36" t="s">
        <v>27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1">
        <f t="shared" si="2"/>
        <v>0</v>
      </c>
    </row>
    <row r="13" ht="15.75" customHeight="1">
      <c r="A13" s="36" t="s">
        <v>29</v>
      </c>
      <c r="B13" s="17"/>
      <c r="C13" s="17"/>
      <c r="D13" s="17"/>
      <c r="E13" s="17"/>
      <c r="F13" s="17"/>
      <c r="G13" s="17"/>
      <c r="H13" s="17"/>
      <c r="I13" s="16"/>
      <c r="J13" s="16"/>
      <c r="K13" s="16"/>
      <c r="L13" s="17"/>
      <c r="M13" s="17"/>
      <c r="N13" s="17"/>
      <c r="O13" s="17"/>
      <c r="P13" s="17"/>
      <c r="Q13" s="16"/>
      <c r="R13" s="17"/>
      <c r="S13" s="11">
        <f t="shared" si="2"/>
        <v>0</v>
      </c>
    </row>
    <row r="14" ht="15.75" customHeight="1">
      <c r="A14" s="36" t="s">
        <v>31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>
        <v>2.0</v>
      </c>
      <c r="Q14" s="16"/>
      <c r="R14" s="17"/>
      <c r="S14" s="11">
        <f t="shared" si="2"/>
        <v>2</v>
      </c>
    </row>
    <row r="15" ht="15.75" customHeight="1">
      <c r="A15" s="35" t="str">
        <f>Gantt!A16</f>
        <v>T14</v>
      </c>
      <c r="B15" s="17"/>
      <c r="C15" s="17"/>
      <c r="D15" s="17"/>
      <c r="E15" s="17"/>
      <c r="F15" s="17"/>
      <c r="G15" s="17"/>
      <c r="H15" s="17"/>
      <c r="I15" s="17"/>
      <c r="J15" s="16"/>
      <c r="K15" s="16">
        <v>3.0</v>
      </c>
      <c r="L15" s="17"/>
      <c r="M15" s="17"/>
      <c r="N15" s="16"/>
      <c r="O15" s="16"/>
      <c r="P15" s="16">
        <v>2.0</v>
      </c>
      <c r="Q15" s="16"/>
      <c r="R15" s="17"/>
      <c r="S15" s="11">
        <f t="shared" si="2"/>
        <v>5</v>
      </c>
    </row>
    <row r="16" ht="15.75" customHeight="1">
      <c r="A16" s="35" t="str">
        <f>Gantt!A17</f>
        <v>T15</v>
      </c>
      <c r="B16" s="17"/>
      <c r="C16" s="17"/>
      <c r="D16" s="17"/>
      <c r="E16" s="17"/>
      <c r="F16" s="17"/>
      <c r="G16" s="17"/>
      <c r="H16" s="17"/>
      <c r="I16" s="17"/>
      <c r="J16" s="16"/>
      <c r="K16" s="16"/>
      <c r="L16" s="17"/>
      <c r="M16" s="17"/>
      <c r="N16" s="16"/>
      <c r="O16" s="16">
        <v>1.0</v>
      </c>
      <c r="P16" s="17"/>
      <c r="Q16" s="17"/>
      <c r="R16" s="17"/>
      <c r="S16" s="11">
        <f t="shared" si="2"/>
        <v>1</v>
      </c>
    </row>
    <row r="17" ht="15.75" customHeight="1">
      <c r="A17" s="35" t="str">
        <f>Gantt!A18</f>
        <v>T16</v>
      </c>
      <c r="B17" s="17"/>
      <c r="C17" s="17"/>
      <c r="D17" s="17"/>
      <c r="E17" s="17"/>
      <c r="F17" s="17"/>
      <c r="G17" s="16"/>
      <c r="H17" s="17"/>
      <c r="I17" s="17"/>
      <c r="J17" s="16"/>
      <c r="K17" s="17"/>
      <c r="L17" s="17"/>
      <c r="M17" s="17"/>
      <c r="N17" s="16"/>
      <c r="O17" s="16"/>
      <c r="P17" s="17"/>
      <c r="Q17" s="17"/>
      <c r="R17" s="17"/>
      <c r="S17" s="11">
        <f t="shared" si="2"/>
        <v>0</v>
      </c>
    </row>
    <row r="18" ht="15.75" customHeight="1">
      <c r="A18" s="37" t="s">
        <v>40</v>
      </c>
      <c r="B18" s="11">
        <f t="shared" ref="B18:S18" si="3">SUM(B2:B17)</f>
        <v>0</v>
      </c>
      <c r="C18" s="11">
        <f t="shared" si="3"/>
        <v>0</v>
      </c>
      <c r="D18" s="11">
        <f t="shared" si="3"/>
        <v>2</v>
      </c>
      <c r="E18" s="11">
        <f t="shared" si="3"/>
        <v>1</v>
      </c>
      <c r="F18" s="11">
        <f t="shared" si="3"/>
        <v>2</v>
      </c>
      <c r="G18" s="11">
        <f t="shared" si="3"/>
        <v>3</v>
      </c>
      <c r="H18" s="11">
        <f t="shared" si="3"/>
        <v>0</v>
      </c>
      <c r="I18" s="11">
        <f t="shared" si="3"/>
        <v>1</v>
      </c>
      <c r="J18" s="11">
        <f t="shared" si="3"/>
        <v>2</v>
      </c>
      <c r="K18" s="11">
        <f t="shared" si="3"/>
        <v>3</v>
      </c>
      <c r="L18" s="11">
        <f t="shared" si="3"/>
        <v>0</v>
      </c>
      <c r="M18" s="11">
        <f t="shared" si="3"/>
        <v>0</v>
      </c>
      <c r="N18" s="11">
        <f t="shared" si="3"/>
        <v>0</v>
      </c>
      <c r="O18" s="11">
        <f t="shared" si="3"/>
        <v>1</v>
      </c>
      <c r="P18" s="11">
        <f t="shared" si="3"/>
        <v>4</v>
      </c>
      <c r="Q18" s="11">
        <f t="shared" si="3"/>
        <v>0</v>
      </c>
      <c r="R18" s="11">
        <f t="shared" si="3"/>
        <v>0</v>
      </c>
      <c r="S18" s="11">
        <f t="shared" si="3"/>
        <v>19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4" t="s">
        <v>3</v>
      </c>
      <c r="B1" s="9">
        <f>Gantt!C2</f>
        <v>45933</v>
      </c>
      <c r="C1" s="9">
        <f t="shared" ref="C1:R1" si="1">B1+7</f>
        <v>45940</v>
      </c>
      <c r="D1" s="9">
        <f t="shared" si="1"/>
        <v>45947</v>
      </c>
      <c r="E1" s="9">
        <f t="shared" si="1"/>
        <v>45954</v>
      </c>
      <c r="F1" s="9">
        <f t="shared" si="1"/>
        <v>45961</v>
      </c>
      <c r="G1" s="9">
        <f t="shared" si="1"/>
        <v>45968</v>
      </c>
      <c r="H1" s="9">
        <f t="shared" si="1"/>
        <v>45975</v>
      </c>
      <c r="I1" s="9">
        <f t="shared" si="1"/>
        <v>45982</v>
      </c>
      <c r="J1" s="9">
        <f t="shared" si="1"/>
        <v>45989</v>
      </c>
      <c r="K1" s="9">
        <f t="shared" si="1"/>
        <v>45996</v>
      </c>
      <c r="L1" s="9">
        <f t="shared" si="1"/>
        <v>46003</v>
      </c>
      <c r="M1" s="9">
        <f t="shared" si="1"/>
        <v>46010</v>
      </c>
      <c r="N1" s="9">
        <f t="shared" si="1"/>
        <v>46017</v>
      </c>
      <c r="O1" s="9">
        <f t="shared" si="1"/>
        <v>46024</v>
      </c>
      <c r="P1" s="9">
        <f t="shared" si="1"/>
        <v>46031</v>
      </c>
      <c r="Q1" s="9">
        <f t="shared" si="1"/>
        <v>46038</v>
      </c>
      <c r="R1" s="9">
        <f t="shared" si="1"/>
        <v>46045</v>
      </c>
      <c r="S1" s="29" t="s">
        <v>40</v>
      </c>
    </row>
    <row r="2" ht="15.75" customHeight="1">
      <c r="A2" s="35" t="str">
        <f>Gantt!A3</f>
        <v>T1</v>
      </c>
      <c r="B2" s="15"/>
      <c r="C2" s="16">
        <v>1.0</v>
      </c>
      <c r="D2" s="16">
        <v>1.0</v>
      </c>
      <c r="E2" s="17"/>
      <c r="F2" s="16">
        <v>2.0</v>
      </c>
      <c r="G2" s="17"/>
      <c r="H2" s="16">
        <v>1.0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7" si="2">SUM(B2:R2)</f>
        <v>5</v>
      </c>
    </row>
    <row r="3" ht="15.75" customHeight="1">
      <c r="A3" s="35" t="str">
        <f>Gantt!A4</f>
        <v>T2</v>
      </c>
      <c r="B3" s="17"/>
      <c r="C3" s="16"/>
      <c r="D3" s="16">
        <v>1.0</v>
      </c>
      <c r="E3" s="16"/>
      <c r="F3" s="17"/>
      <c r="G3" s="16">
        <v>1.0</v>
      </c>
      <c r="H3" s="17"/>
      <c r="I3" s="17"/>
      <c r="J3" s="17"/>
      <c r="K3" s="16"/>
      <c r="L3" s="17"/>
      <c r="M3" s="17"/>
      <c r="N3" s="17"/>
      <c r="O3" s="17"/>
      <c r="P3" s="17"/>
      <c r="Q3" s="16"/>
      <c r="R3" s="17"/>
      <c r="S3" s="11">
        <f t="shared" si="2"/>
        <v>2</v>
      </c>
    </row>
    <row r="4" ht="15.75" customHeight="1">
      <c r="A4" s="35" t="str">
        <f>Gantt!A5</f>
        <v>T3</v>
      </c>
      <c r="B4" s="17"/>
      <c r="C4" s="17"/>
      <c r="D4" s="16"/>
      <c r="E4" s="16"/>
      <c r="F4" s="16"/>
      <c r="G4" s="16"/>
      <c r="H4" s="17"/>
      <c r="I4" s="17"/>
      <c r="J4" s="16"/>
      <c r="K4" s="16"/>
      <c r="L4" s="17"/>
      <c r="M4" s="17"/>
      <c r="N4" s="17"/>
      <c r="O4" s="17"/>
      <c r="P4" s="17"/>
      <c r="Q4" s="16"/>
      <c r="R4" s="17"/>
      <c r="S4" s="11">
        <f t="shared" si="2"/>
        <v>0</v>
      </c>
    </row>
    <row r="5" ht="15.75" customHeight="1">
      <c r="A5" s="35" t="str">
        <f>Gantt!A6</f>
        <v>T4</v>
      </c>
      <c r="B5" s="17"/>
      <c r="C5" s="17"/>
      <c r="D5" s="17"/>
      <c r="E5" s="17"/>
      <c r="F5" s="16"/>
      <c r="G5" s="17"/>
      <c r="H5" s="16"/>
      <c r="I5" s="16"/>
      <c r="J5" s="16"/>
      <c r="K5" s="16"/>
      <c r="L5" s="17"/>
      <c r="M5" s="16"/>
      <c r="N5" s="17"/>
      <c r="O5" s="17"/>
      <c r="P5" s="17"/>
      <c r="Q5" s="17"/>
      <c r="R5" s="17"/>
      <c r="S5" s="11">
        <f t="shared" si="2"/>
        <v>0</v>
      </c>
    </row>
    <row r="6" ht="15.75" customHeight="1">
      <c r="A6" s="35" t="str">
        <f>Gantt!A7</f>
        <v>T5</v>
      </c>
      <c r="B6" s="17"/>
      <c r="C6" s="17"/>
      <c r="D6" s="17"/>
      <c r="E6" s="17"/>
      <c r="F6" s="16"/>
      <c r="G6" s="17"/>
      <c r="H6" s="16"/>
      <c r="I6" s="16"/>
      <c r="J6" s="16"/>
      <c r="K6" s="16"/>
      <c r="L6" s="16"/>
      <c r="M6" s="17"/>
      <c r="N6" s="17"/>
      <c r="O6" s="17"/>
      <c r="P6" s="17"/>
      <c r="Q6" s="17"/>
      <c r="R6" s="17"/>
      <c r="S6" s="11">
        <f t="shared" si="2"/>
        <v>0</v>
      </c>
    </row>
    <row r="7" ht="15.75" customHeight="1">
      <c r="A7" s="35" t="str">
        <f>Gantt!A8</f>
        <v>T6</v>
      </c>
      <c r="B7" s="17"/>
      <c r="C7" s="17"/>
      <c r="D7" s="17"/>
      <c r="E7" s="17"/>
      <c r="F7" s="17"/>
      <c r="G7" s="16">
        <v>1.0</v>
      </c>
      <c r="H7" s="16">
        <v>1.0</v>
      </c>
      <c r="I7" s="16"/>
      <c r="J7" s="17"/>
      <c r="K7" s="17"/>
      <c r="L7" s="16"/>
      <c r="M7" s="16"/>
      <c r="N7" s="17"/>
      <c r="O7" s="17"/>
      <c r="P7" s="17"/>
      <c r="Q7" s="17"/>
      <c r="R7" s="17"/>
      <c r="S7" s="11">
        <f t="shared" si="2"/>
        <v>2</v>
      </c>
    </row>
    <row r="8" ht="15.75" customHeight="1">
      <c r="A8" s="35" t="str">
        <f>Gantt!A9</f>
        <v>T7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6"/>
      <c r="N8" s="16"/>
      <c r="O8" s="17"/>
      <c r="P8" s="17"/>
      <c r="Q8" s="17"/>
      <c r="R8" s="17"/>
      <c r="S8" s="11">
        <f t="shared" si="2"/>
        <v>0</v>
      </c>
    </row>
    <row r="9" ht="15.75" customHeight="1">
      <c r="A9" s="35" t="str">
        <f>Gantt!A10</f>
        <v>T8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  <c r="O9" s="16"/>
      <c r="P9" s="17"/>
      <c r="Q9" s="17"/>
      <c r="R9" s="17"/>
      <c r="S9" s="11">
        <f t="shared" si="2"/>
        <v>0</v>
      </c>
    </row>
    <row r="10" ht="15.75" customHeight="1">
      <c r="A10" s="35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  <c r="O10" s="16"/>
      <c r="P10" s="17"/>
      <c r="Q10" s="17"/>
      <c r="R10" s="17"/>
      <c r="S10" s="11">
        <f t="shared" si="2"/>
        <v>0</v>
      </c>
    </row>
    <row r="11" ht="15.75" customHeight="1">
      <c r="A11" s="35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16"/>
      <c r="Q11" s="17"/>
      <c r="R11" s="17"/>
      <c r="S11" s="11">
        <f t="shared" si="2"/>
        <v>0</v>
      </c>
    </row>
    <row r="12" ht="15.75" customHeight="1">
      <c r="A12" s="36" t="s">
        <v>27</v>
      </c>
      <c r="B12" s="17"/>
      <c r="C12" s="17"/>
      <c r="D12" s="17"/>
      <c r="E12" s="17"/>
      <c r="F12" s="17"/>
      <c r="G12" s="17"/>
      <c r="H12" s="16">
        <v>2.0</v>
      </c>
      <c r="I12" s="17"/>
      <c r="J12" s="16">
        <v>1.0</v>
      </c>
      <c r="K12" s="17"/>
      <c r="L12" s="17"/>
      <c r="M12" s="16"/>
      <c r="N12" s="16"/>
      <c r="O12" s="17"/>
      <c r="P12" s="17"/>
      <c r="Q12" s="16"/>
      <c r="R12" s="17"/>
      <c r="S12" s="11">
        <f t="shared" si="2"/>
        <v>3</v>
      </c>
    </row>
    <row r="13" ht="15.75" customHeight="1">
      <c r="A13" s="36" t="s">
        <v>29</v>
      </c>
      <c r="B13" s="17"/>
      <c r="C13" s="17"/>
      <c r="D13" s="17"/>
      <c r="E13" s="17"/>
      <c r="F13" s="17"/>
      <c r="G13" s="17"/>
      <c r="H13" s="17"/>
      <c r="I13" s="16">
        <v>1.0</v>
      </c>
      <c r="J13" s="16">
        <v>2.0</v>
      </c>
      <c r="K13" s="16">
        <v>2.0</v>
      </c>
      <c r="L13" s="17"/>
      <c r="M13" s="17"/>
      <c r="N13" s="17"/>
      <c r="O13" s="17"/>
      <c r="P13" s="17"/>
      <c r="Q13" s="17"/>
      <c r="R13" s="17"/>
      <c r="S13" s="11">
        <f t="shared" si="2"/>
        <v>5</v>
      </c>
    </row>
    <row r="14" ht="15.75" customHeight="1">
      <c r="A14" s="36" t="s">
        <v>31</v>
      </c>
      <c r="B14" s="17"/>
      <c r="C14" s="17"/>
      <c r="D14" s="17"/>
      <c r="E14" s="17"/>
      <c r="F14" s="17"/>
      <c r="G14" s="17"/>
      <c r="H14" s="17"/>
      <c r="I14" s="17"/>
      <c r="J14" s="17"/>
      <c r="K14" s="16">
        <v>2.0</v>
      </c>
      <c r="L14" s="17"/>
      <c r="M14" s="17"/>
      <c r="N14" s="17"/>
      <c r="O14" s="17"/>
      <c r="P14" s="16">
        <v>1.0</v>
      </c>
      <c r="Q14" s="17"/>
      <c r="R14" s="17"/>
      <c r="S14" s="11">
        <f t="shared" si="2"/>
        <v>3</v>
      </c>
    </row>
    <row r="15" ht="15.75" customHeight="1">
      <c r="A15" s="36" t="s">
        <v>33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>
        <v>1.0</v>
      </c>
      <c r="O15" s="17"/>
      <c r="P15" s="16">
        <v>1.0</v>
      </c>
      <c r="Q15" s="17"/>
      <c r="R15" s="17"/>
      <c r="S15" s="11">
        <f t="shared" si="2"/>
        <v>2</v>
      </c>
    </row>
    <row r="16" ht="15.75" customHeight="1">
      <c r="A16" s="35" t="str">
        <f>Gantt!A17</f>
        <v>T15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  <c r="O16" s="16"/>
      <c r="P16" s="16"/>
      <c r="Q16" s="16">
        <v>1.0</v>
      </c>
      <c r="R16" s="17"/>
      <c r="S16" s="11">
        <f t="shared" si="2"/>
        <v>1</v>
      </c>
    </row>
    <row r="17" ht="15.75" customHeight="1">
      <c r="A17" s="35" t="str">
        <f>Gantt!A18</f>
        <v>T16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16"/>
      <c r="Q17" s="16">
        <v>1.0</v>
      </c>
      <c r="R17" s="17"/>
      <c r="S17" s="11">
        <f t="shared" si="2"/>
        <v>1</v>
      </c>
    </row>
    <row r="18" ht="15.75" customHeight="1">
      <c r="A18" s="37" t="s">
        <v>40</v>
      </c>
      <c r="B18" s="11">
        <f t="shared" ref="B18:R18" si="3">SUM(B2:B17)</f>
        <v>0</v>
      </c>
      <c r="C18" s="11">
        <f t="shared" si="3"/>
        <v>1</v>
      </c>
      <c r="D18" s="11">
        <f t="shared" si="3"/>
        <v>2</v>
      </c>
      <c r="E18" s="11">
        <f t="shared" si="3"/>
        <v>0</v>
      </c>
      <c r="F18" s="11">
        <f t="shared" si="3"/>
        <v>2</v>
      </c>
      <c r="G18" s="11">
        <f t="shared" si="3"/>
        <v>2</v>
      </c>
      <c r="H18" s="11">
        <f t="shared" si="3"/>
        <v>4</v>
      </c>
      <c r="I18" s="11">
        <f t="shared" si="3"/>
        <v>1</v>
      </c>
      <c r="J18" s="11">
        <f t="shared" si="3"/>
        <v>3</v>
      </c>
      <c r="K18" s="11">
        <f t="shared" si="3"/>
        <v>4</v>
      </c>
      <c r="L18" s="11">
        <f t="shared" si="3"/>
        <v>0</v>
      </c>
      <c r="M18" s="11">
        <f t="shared" si="3"/>
        <v>0</v>
      </c>
      <c r="N18" s="11">
        <f t="shared" si="3"/>
        <v>1</v>
      </c>
      <c r="O18" s="11">
        <f t="shared" si="3"/>
        <v>0</v>
      </c>
      <c r="P18" s="11">
        <f t="shared" si="3"/>
        <v>2</v>
      </c>
      <c r="Q18" s="11">
        <f t="shared" si="3"/>
        <v>2</v>
      </c>
      <c r="R18" s="11">
        <f t="shared" si="3"/>
        <v>0</v>
      </c>
      <c r="S18" s="38">
        <f>SUM(S2:S13)</f>
        <v>17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4" t="s">
        <v>3</v>
      </c>
      <c r="B1" s="9">
        <f>Gantt!C2</f>
        <v>45933</v>
      </c>
      <c r="C1" s="9">
        <f t="shared" ref="C1:R1" si="1">B1+7</f>
        <v>45940</v>
      </c>
      <c r="D1" s="9">
        <f t="shared" si="1"/>
        <v>45947</v>
      </c>
      <c r="E1" s="9">
        <f t="shared" si="1"/>
        <v>45954</v>
      </c>
      <c r="F1" s="9">
        <f t="shared" si="1"/>
        <v>45961</v>
      </c>
      <c r="G1" s="9">
        <f t="shared" si="1"/>
        <v>45968</v>
      </c>
      <c r="H1" s="9">
        <f t="shared" si="1"/>
        <v>45975</v>
      </c>
      <c r="I1" s="9">
        <f t="shared" si="1"/>
        <v>45982</v>
      </c>
      <c r="J1" s="9">
        <f t="shared" si="1"/>
        <v>45989</v>
      </c>
      <c r="K1" s="9">
        <f t="shared" si="1"/>
        <v>45996</v>
      </c>
      <c r="L1" s="9">
        <f t="shared" si="1"/>
        <v>46003</v>
      </c>
      <c r="M1" s="9">
        <f t="shared" si="1"/>
        <v>46010</v>
      </c>
      <c r="N1" s="9">
        <f t="shared" si="1"/>
        <v>46017</v>
      </c>
      <c r="O1" s="9">
        <f t="shared" si="1"/>
        <v>46024</v>
      </c>
      <c r="P1" s="9">
        <f t="shared" si="1"/>
        <v>46031</v>
      </c>
      <c r="Q1" s="9">
        <f t="shared" si="1"/>
        <v>46038</v>
      </c>
      <c r="R1" s="9">
        <f t="shared" si="1"/>
        <v>46045</v>
      </c>
      <c r="S1" s="29" t="s">
        <v>40</v>
      </c>
    </row>
    <row r="2" ht="15.75" customHeight="1">
      <c r="A2" s="35" t="str">
        <f>Gantt!A3</f>
        <v>T1</v>
      </c>
      <c r="B2" s="15"/>
      <c r="C2" s="16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8" si="2">SUM(B2:R2)</f>
        <v>0</v>
      </c>
    </row>
    <row r="3" ht="15.75" customHeight="1">
      <c r="A3" s="35" t="str">
        <f>Gantt!A4</f>
        <v>T2</v>
      </c>
      <c r="B3" s="17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</v>
      </c>
    </row>
    <row r="4" ht="15.75" customHeight="1">
      <c r="A4" s="35" t="str">
        <f>Gantt!A5</f>
        <v>T3</v>
      </c>
      <c r="B4" s="16"/>
      <c r="C4" s="17"/>
      <c r="D4" s="17"/>
      <c r="E4" s="16"/>
      <c r="F4" s="16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0</v>
      </c>
    </row>
    <row r="5" ht="15.75" customHeight="1">
      <c r="A5" s="35" t="str">
        <f>Gantt!A6</f>
        <v>T4</v>
      </c>
      <c r="B5" s="17"/>
      <c r="C5" s="17"/>
      <c r="D5" s="16"/>
      <c r="E5" s="16"/>
      <c r="F5" s="16"/>
      <c r="G5" s="16"/>
      <c r="H5" s="16"/>
      <c r="I5" s="16"/>
      <c r="J5" s="16"/>
      <c r="K5" s="17"/>
      <c r="L5" s="17"/>
      <c r="M5" s="17"/>
      <c r="N5" s="17"/>
      <c r="O5" s="17"/>
      <c r="P5" s="17"/>
      <c r="Q5" s="17"/>
      <c r="R5" s="17"/>
      <c r="S5" s="11">
        <f t="shared" si="2"/>
        <v>0</v>
      </c>
    </row>
    <row r="6" ht="15.75" customHeight="1">
      <c r="A6" s="35" t="str">
        <f>Gantt!A7</f>
        <v>T5</v>
      </c>
      <c r="B6" s="17"/>
      <c r="C6" s="17"/>
      <c r="D6" s="16"/>
      <c r="E6" s="16"/>
      <c r="F6" s="17"/>
      <c r="G6" s="16">
        <v>2.0</v>
      </c>
      <c r="H6" s="16">
        <v>4.0</v>
      </c>
      <c r="I6" s="16"/>
      <c r="J6" s="16"/>
      <c r="K6" s="16"/>
      <c r="L6" s="16"/>
      <c r="M6" s="17"/>
      <c r="N6" s="17"/>
      <c r="O6" s="17"/>
      <c r="P6" s="17"/>
      <c r="Q6" s="17"/>
      <c r="R6" s="17"/>
      <c r="S6" s="11">
        <f t="shared" si="2"/>
        <v>6</v>
      </c>
    </row>
    <row r="7" ht="15.75" customHeight="1">
      <c r="A7" s="35" t="str">
        <f>Gantt!A8</f>
        <v>T6</v>
      </c>
      <c r="B7" s="17"/>
      <c r="C7" s="16"/>
      <c r="D7" s="16">
        <v>1.0</v>
      </c>
      <c r="E7" s="16">
        <v>1.0</v>
      </c>
      <c r="F7" s="16">
        <v>2.0</v>
      </c>
      <c r="G7" s="16"/>
      <c r="H7" s="16"/>
      <c r="I7" s="16"/>
      <c r="J7" s="16"/>
      <c r="K7" s="17"/>
      <c r="L7" s="16"/>
      <c r="M7" s="16"/>
      <c r="N7" s="17"/>
      <c r="O7" s="17"/>
      <c r="P7" s="17"/>
      <c r="Q7" s="17"/>
      <c r="R7" s="17"/>
      <c r="S7" s="11">
        <f t="shared" si="2"/>
        <v>4</v>
      </c>
    </row>
    <row r="8" ht="15.75" customHeight="1">
      <c r="A8" s="35" t="str">
        <f>Gantt!A9</f>
        <v>T7</v>
      </c>
      <c r="B8" s="17"/>
      <c r="C8" s="17"/>
      <c r="D8" s="17"/>
      <c r="E8" s="16"/>
      <c r="F8" s="17"/>
      <c r="G8" s="17"/>
      <c r="H8" s="17"/>
      <c r="I8" s="17"/>
      <c r="J8" s="17"/>
      <c r="K8" s="17"/>
      <c r="L8" s="17"/>
      <c r="M8" s="16"/>
      <c r="N8" s="16"/>
      <c r="O8" s="17"/>
      <c r="P8" s="17"/>
      <c r="Q8" s="17"/>
      <c r="R8" s="17"/>
      <c r="S8" s="11">
        <f t="shared" si="2"/>
        <v>0</v>
      </c>
    </row>
    <row r="9" ht="15.75" customHeight="1">
      <c r="A9" s="35" t="str">
        <f>Gantt!A10</f>
        <v>T8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  <c r="O9" s="16"/>
      <c r="P9" s="17"/>
      <c r="Q9" s="17"/>
      <c r="R9" s="17"/>
      <c r="S9" s="11">
        <f t="shared" si="2"/>
        <v>0</v>
      </c>
    </row>
    <row r="10" ht="15.75" customHeight="1">
      <c r="A10" s="35" t="str">
        <f>Gantt!A11</f>
        <v>T9</v>
      </c>
      <c r="B10" s="17"/>
      <c r="C10" s="17"/>
      <c r="D10" s="17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6"/>
      <c r="P10" s="16"/>
      <c r="Q10" s="16"/>
      <c r="R10" s="17"/>
      <c r="S10" s="11">
        <f t="shared" si="2"/>
        <v>0</v>
      </c>
    </row>
    <row r="11" ht="15.75" customHeight="1">
      <c r="A11" s="35" t="str">
        <f>Gantt!A12</f>
        <v>T10</v>
      </c>
      <c r="B11" s="17"/>
      <c r="C11" s="17"/>
      <c r="D11" s="17"/>
      <c r="E11" s="17"/>
      <c r="F11" s="17"/>
      <c r="G11" s="17"/>
      <c r="H11" s="17"/>
      <c r="I11" s="16"/>
      <c r="J11" s="16"/>
      <c r="K11" s="17"/>
      <c r="L11" s="17"/>
      <c r="M11" s="17"/>
      <c r="N11" s="17"/>
      <c r="O11" s="17"/>
      <c r="P11" s="17"/>
      <c r="Q11" s="17"/>
      <c r="R11" s="17"/>
      <c r="S11" s="11">
        <f t="shared" si="2"/>
        <v>0</v>
      </c>
    </row>
    <row r="12" ht="15.75" customHeight="1">
      <c r="A12" s="36" t="s">
        <v>27</v>
      </c>
      <c r="B12" s="17"/>
      <c r="C12" s="17"/>
      <c r="D12" s="17"/>
      <c r="E12" s="17"/>
      <c r="F12" s="17"/>
      <c r="G12" s="17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1">
        <f t="shared" si="2"/>
        <v>0</v>
      </c>
    </row>
    <row r="13" ht="15.75" customHeight="1">
      <c r="A13" s="36" t="s">
        <v>29</v>
      </c>
      <c r="B13" s="17"/>
      <c r="C13" s="17"/>
      <c r="D13" s="17"/>
      <c r="E13" s="17"/>
      <c r="F13" s="17"/>
      <c r="G13" s="17"/>
      <c r="H13" s="17"/>
      <c r="I13" s="16">
        <v>3.0</v>
      </c>
      <c r="J13" s="16">
        <v>3.0</v>
      </c>
      <c r="K13" s="16">
        <v>4.0</v>
      </c>
      <c r="L13" s="16">
        <v>3.0</v>
      </c>
      <c r="M13" s="17"/>
      <c r="N13" s="17"/>
      <c r="O13" s="16"/>
      <c r="P13" s="17"/>
      <c r="Q13" s="16"/>
      <c r="R13" s="17"/>
      <c r="S13" s="11">
        <f t="shared" si="2"/>
        <v>13</v>
      </c>
    </row>
    <row r="14" ht="15.75" customHeight="1">
      <c r="A14" s="36" t="s">
        <v>31</v>
      </c>
      <c r="B14" s="17"/>
      <c r="C14" s="17"/>
      <c r="D14" s="17"/>
      <c r="E14" s="17"/>
      <c r="F14" s="17"/>
      <c r="G14" s="17"/>
      <c r="H14" s="17"/>
      <c r="I14" s="17"/>
      <c r="J14" s="16"/>
      <c r="K14" s="17"/>
      <c r="L14" s="17"/>
      <c r="M14" s="17"/>
      <c r="N14" s="17"/>
      <c r="O14" s="17"/>
      <c r="P14" s="17"/>
      <c r="Q14" s="17"/>
      <c r="R14" s="17"/>
      <c r="S14" s="11">
        <f t="shared" si="2"/>
        <v>0</v>
      </c>
    </row>
    <row r="15" ht="15.75" customHeight="1">
      <c r="A15" s="36" t="s">
        <v>33</v>
      </c>
      <c r="B15" s="17"/>
      <c r="C15" s="17"/>
      <c r="D15" s="17"/>
      <c r="E15" s="17"/>
      <c r="F15" s="17"/>
      <c r="G15" s="17"/>
      <c r="H15" s="17"/>
      <c r="I15" s="17"/>
      <c r="J15" s="16"/>
      <c r="K15" s="17"/>
      <c r="L15" s="17"/>
      <c r="M15" s="17"/>
      <c r="N15" s="16">
        <v>1.0</v>
      </c>
      <c r="O15" s="17"/>
      <c r="P15" s="16">
        <v>1.0</v>
      </c>
      <c r="Q15" s="17"/>
      <c r="R15" s="17"/>
      <c r="S15" s="11">
        <f t="shared" si="2"/>
        <v>2</v>
      </c>
    </row>
    <row r="16" ht="15.75" customHeight="1">
      <c r="A16" s="35" t="str">
        <f>Gantt!A17</f>
        <v>T15</v>
      </c>
      <c r="B16" s="17"/>
      <c r="C16" s="17"/>
      <c r="D16" s="17"/>
      <c r="E16" s="17"/>
      <c r="F16" s="17"/>
      <c r="G16" s="17"/>
      <c r="H16" s="17"/>
      <c r="I16" s="16"/>
      <c r="J16" s="16"/>
      <c r="K16" s="17"/>
      <c r="L16" s="17"/>
      <c r="M16" s="17"/>
      <c r="N16" s="17"/>
      <c r="O16" s="16"/>
      <c r="P16" s="16"/>
      <c r="Q16" s="17"/>
      <c r="R16" s="17"/>
      <c r="S16" s="11">
        <f t="shared" si="2"/>
        <v>0</v>
      </c>
    </row>
    <row r="17" ht="15.75" customHeight="1">
      <c r="A17" s="35" t="str">
        <f>Gantt!A18</f>
        <v>T16</v>
      </c>
      <c r="B17" s="17"/>
      <c r="C17" s="17"/>
      <c r="D17" s="17"/>
      <c r="E17" s="17"/>
      <c r="F17" s="17"/>
      <c r="G17" s="17"/>
      <c r="H17" s="17"/>
      <c r="I17" s="16"/>
      <c r="J17" s="16"/>
      <c r="K17" s="17"/>
      <c r="L17" s="17"/>
      <c r="M17" s="17"/>
      <c r="N17" s="17"/>
      <c r="O17" s="17"/>
      <c r="P17" s="17"/>
      <c r="Q17" s="17"/>
      <c r="R17" s="17"/>
      <c r="S17" s="11">
        <f t="shared" si="2"/>
        <v>0</v>
      </c>
    </row>
    <row r="18" ht="15.75" customHeight="1">
      <c r="A18" s="37" t="s">
        <v>40</v>
      </c>
      <c r="B18" s="11">
        <f t="shared" ref="B18:R18" si="3">SUM(B2:B17)</f>
        <v>0</v>
      </c>
      <c r="C18" s="11">
        <f t="shared" si="3"/>
        <v>0</v>
      </c>
      <c r="D18" s="11">
        <f t="shared" si="3"/>
        <v>1</v>
      </c>
      <c r="E18" s="11">
        <f t="shared" si="3"/>
        <v>1</v>
      </c>
      <c r="F18" s="11">
        <f t="shared" si="3"/>
        <v>2</v>
      </c>
      <c r="G18" s="11">
        <f t="shared" si="3"/>
        <v>2</v>
      </c>
      <c r="H18" s="11">
        <f t="shared" si="3"/>
        <v>4</v>
      </c>
      <c r="I18" s="11">
        <f t="shared" si="3"/>
        <v>3</v>
      </c>
      <c r="J18" s="11">
        <f t="shared" si="3"/>
        <v>3</v>
      </c>
      <c r="K18" s="11">
        <f t="shared" si="3"/>
        <v>4</v>
      </c>
      <c r="L18" s="11">
        <f t="shared" si="3"/>
        <v>3</v>
      </c>
      <c r="M18" s="11">
        <f t="shared" si="3"/>
        <v>0</v>
      </c>
      <c r="N18" s="11">
        <f t="shared" si="3"/>
        <v>1</v>
      </c>
      <c r="O18" s="11">
        <f t="shared" si="3"/>
        <v>0</v>
      </c>
      <c r="P18" s="11">
        <f t="shared" si="3"/>
        <v>1</v>
      </c>
      <c r="Q18" s="11">
        <f t="shared" si="3"/>
        <v>0</v>
      </c>
      <c r="R18" s="11">
        <f t="shared" si="3"/>
        <v>0</v>
      </c>
      <c r="S18" s="11">
        <f t="shared" si="2"/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4" t="s">
        <v>3</v>
      </c>
      <c r="B1" s="9">
        <f>Gantt!C2</f>
        <v>45933</v>
      </c>
      <c r="C1" s="9">
        <f t="shared" ref="C1:R1" si="1">B1+7</f>
        <v>45940</v>
      </c>
      <c r="D1" s="9">
        <f t="shared" si="1"/>
        <v>45947</v>
      </c>
      <c r="E1" s="9">
        <f t="shared" si="1"/>
        <v>45954</v>
      </c>
      <c r="F1" s="9">
        <f t="shared" si="1"/>
        <v>45961</v>
      </c>
      <c r="G1" s="9">
        <f t="shared" si="1"/>
        <v>45968</v>
      </c>
      <c r="H1" s="9">
        <f t="shared" si="1"/>
        <v>45975</v>
      </c>
      <c r="I1" s="9">
        <f t="shared" si="1"/>
        <v>45982</v>
      </c>
      <c r="J1" s="9">
        <f t="shared" si="1"/>
        <v>45989</v>
      </c>
      <c r="K1" s="9">
        <f t="shared" si="1"/>
        <v>45996</v>
      </c>
      <c r="L1" s="9">
        <f t="shared" si="1"/>
        <v>46003</v>
      </c>
      <c r="M1" s="9">
        <f t="shared" si="1"/>
        <v>46010</v>
      </c>
      <c r="N1" s="9">
        <f t="shared" si="1"/>
        <v>46017</v>
      </c>
      <c r="O1" s="9">
        <f t="shared" si="1"/>
        <v>46024</v>
      </c>
      <c r="P1" s="9">
        <f t="shared" si="1"/>
        <v>46031</v>
      </c>
      <c r="Q1" s="9">
        <f t="shared" si="1"/>
        <v>46038</v>
      </c>
      <c r="R1" s="9">
        <f t="shared" si="1"/>
        <v>46045</v>
      </c>
      <c r="S1" s="29" t="s">
        <v>40</v>
      </c>
    </row>
    <row r="2" ht="15.75" customHeight="1">
      <c r="A2" s="35" t="str">
        <f>Gantt!A3</f>
        <v>T1</v>
      </c>
      <c r="B2" s="15"/>
      <c r="C2" s="17"/>
      <c r="D2" s="16">
        <v>2.0</v>
      </c>
      <c r="E2" s="16">
        <v>2.0</v>
      </c>
      <c r="F2" s="17"/>
      <c r="G2" s="16"/>
      <c r="H2" s="16">
        <v>1.0</v>
      </c>
      <c r="I2" s="17"/>
      <c r="J2" s="16"/>
      <c r="K2" s="17"/>
      <c r="L2" s="17"/>
      <c r="M2" s="17"/>
      <c r="N2" s="17"/>
      <c r="O2" s="17"/>
      <c r="P2" s="17"/>
      <c r="Q2" s="17"/>
      <c r="R2" s="17"/>
      <c r="S2" s="11">
        <f t="shared" ref="S2:S18" si="2">SUM(B2:R2)</f>
        <v>5</v>
      </c>
    </row>
    <row r="3" ht="15.75" customHeight="1">
      <c r="A3" s="35" t="str">
        <f>Gantt!A4</f>
        <v>T2</v>
      </c>
      <c r="B3" s="16"/>
      <c r="C3" s="16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</v>
      </c>
    </row>
    <row r="4" ht="15.75" customHeight="1">
      <c r="A4" s="35" t="str">
        <f>Gantt!A5</f>
        <v>T3</v>
      </c>
      <c r="B4" s="17"/>
      <c r="C4" s="16"/>
      <c r="D4" s="16"/>
      <c r="E4" s="16">
        <v>1.0</v>
      </c>
      <c r="F4" s="16">
        <v>1.0</v>
      </c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2</v>
      </c>
    </row>
    <row r="5" ht="15.75" customHeight="1">
      <c r="A5" s="35" t="str">
        <f>Gantt!A6</f>
        <v>T4</v>
      </c>
      <c r="B5" s="17"/>
      <c r="C5" s="17"/>
      <c r="D5" s="17"/>
      <c r="E5" s="16"/>
      <c r="F5" s="16"/>
      <c r="G5" s="16">
        <v>2.0</v>
      </c>
      <c r="H5" s="16">
        <v>2.0</v>
      </c>
      <c r="I5" s="16"/>
      <c r="J5" s="17"/>
      <c r="K5" s="17"/>
      <c r="L5" s="17"/>
      <c r="M5" s="17"/>
      <c r="N5" s="17"/>
      <c r="O5" s="17"/>
      <c r="P5" s="17"/>
      <c r="Q5" s="17"/>
      <c r="R5" s="17"/>
      <c r="S5" s="11">
        <f t="shared" si="2"/>
        <v>4</v>
      </c>
    </row>
    <row r="6" ht="15.75" customHeight="1">
      <c r="A6" s="35" t="str">
        <f>Gantt!A7</f>
        <v>T5</v>
      </c>
      <c r="B6" s="17"/>
      <c r="C6" s="17"/>
      <c r="D6" s="17"/>
      <c r="E6" s="17"/>
      <c r="F6" s="16"/>
      <c r="G6" s="17"/>
      <c r="H6" s="17"/>
      <c r="I6" s="16"/>
      <c r="J6" s="16"/>
      <c r="K6" s="16"/>
      <c r="M6" s="17"/>
      <c r="N6" s="17"/>
      <c r="O6" s="17"/>
      <c r="P6" s="17"/>
      <c r="Q6" s="17"/>
      <c r="R6" s="17"/>
      <c r="S6" s="11">
        <f t="shared" si="2"/>
        <v>0</v>
      </c>
    </row>
    <row r="7" ht="15.75" customHeight="1">
      <c r="A7" s="35" t="str">
        <f>Gantt!A8</f>
        <v>T6</v>
      </c>
      <c r="B7" s="17"/>
      <c r="C7" s="17"/>
      <c r="D7" s="17"/>
      <c r="E7" s="17"/>
      <c r="F7" s="16"/>
      <c r="G7" s="16"/>
      <c r="H7" s="16"/>
      <c r="I7" s="16"/>
      <c r="J7" s="16"/>
      <c r="K7" s="16"/>
      <c r="L7" s="16"/>
      <c r="M7" s="16"/>
      <c r="N7" s="17"/>
      <c r="O7" s="17"/>
      <c r="P7" s="17"/>
      <c r="Q7" s="17"/>
      <c r="R7" s="17"/>
      <c r="S7" s="11">
        <f t="shared" si="2"/>
        <v>0</v>
      </c>
    </row>
    <row r="8" ht="15.75" customHeight="1">
      <c r="A8" s="35" t="str">
        <f>Gantt!A9</f>
        <v>T7</v>
      </c>
      <c r="B8" s="17"/>
      <c r="C8" s="17"/>
      <c r="D8" s="17"/>
      <c r="E8" s="17"/>
      <c r="F8" s="17"/>
      <c r="G8" s="16"/>
      <c r="H8" s="16"/>
      <c r="I8" s="17"/>
      <c r="J8" s="16"/>
      <c r="K8" s="17"/>
      <c r="L8" s="17"/>
      <c r="M8" s="16"/>
      <c r="N8" s="16"/>
      <c r="O8" s="17"/>
      <c r="P8" s="17"/>
      <c r="Q8" s="17"/>
      <c r="R8" s="17"/>
      <c r="S8" s="11">
        <f t="shared" si="2"/>
        <v>0</v>
      </c>
    </row>
    <row r="9" ht="15.75" customHeight="1">
      <c r="A9" s="35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6">
        <v>2.0</v>
      </c>
      <c r="K9" s="16">
        <v>2.0</v>
      </c>
      <c r="L9" s="17"/>
      <c r="M9" s="17"/>
      <c r="N9" s="16"/>
      <c r="O9" s="16"/>
      <c r="P9" s="17"/>
      <c r="Q9" s="17"/>
      <c r="R9" s="17"/>
      <c r="S9" s="11">
        <f t="shared" si="2"/>
        <v>4</v>
      </c>
    </row>
    <row r="10" ht="15.75" customHeight="1">
      <c r="A10" s="35" t="str">
        <f>Gantt!A11</f>
        <v>T9</v>
      </c>
      <c r="B10" s="17"/>
      <c r="C10" s="17"/>
      <c r="D10" s="17"/>
      <c r="E10" s="17"/>
      <c r="F10" s="17"/>
      <c r="G10" s="16"/>
      <c r="H10" s="16"/>
      <c r="I10" s="17"/>
      <c r="J10" s="16"/>
      <c r="K10" s="17"/>
      <c r="L10" s="17"/>
      <c r="M10" s="16"/>
      <c r="N10" s="16"/>
      <c r="O10" s="17"/>
      <c r="P10" s="17"/>
      <c r="Q10" s="17"/>
      <c r="R10" s="17"/>
      <c r="S10" s="11">
        <f t="shared" si="2"/>
        <v>0</v>
      </c>
    </row>
    <row r="11" ht="15.75" customHeight="1">
      <c r="A11" s="35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7"/>
      <c r="K11" s="16">
        <v>2.0</v>
      </c>
      <c r="L11" s="16">
        <v>1.0</v>
      </c>
      <c r="M11" s="17"/>
      <c r="N11" s="17"/>
      <c r="O11" s="16"/>
      <c r="P11" s="16"/>
      <c r="Q11" s="17"/>
      <c r="R11" s="17"/>
      <c r="S11" s="11">
        <f t="shared" si="2"/>
        <v>3</v>
      </c>
    </row>
    <row r="12" ht="15.75" customHeight="1">
      <c r="A12" s="35" t="str">
        <f>Gantt!A13</f>
        <v>T11</v>
      </c>
      <c r="B12" s="17"/>
      <c r="C12" s="17"/>
      <c r="D12" s="17"/>
      <c r="E12" s="17"/>
      <c r="F12" s="17"/>
      <c r="G12" s="17"/>
      <c r="H12" s="17"/>
      <c r="I12" s="16"/>
      <c r="J12" s="17"/>
      <c r="K12" s="17"/>
      <c r="L12" s="16"/>
      <c r="M12" s="17"/>
      <c r="N12" s="17"/>
      <c r="O12" s="17"/>
      <c r="P12" s="17"/>
      <c r="Q12" s="17"/>
      <c r="R12" s="17"/>
      <c r="S12" s="11">
        <f t="shared" si="2"/>
        <v>0</v>
      </c>
    </row>
    <row r="13" ht="15.75" customHeight="1">
      <c r="A13" s="35" t="str">
        <f>Gantt!A14</f>
        <v>T12</v>
      </c>
      <c r="B13" s="17"/>
      <c r="C13" s="17"/>
      <c r="D13" s="17"/>
      <c r="E13" s="17"/>
      <c r="F13" s="17"/>
      <c r="G13" s="16"/>
      <c r="H13" s="16"/>
      <c r="I13" s="17"/>
      <c r="J13" s="16"/>
      <c r="K13" s="16">
        <v>2.0</v>
      </c>
      <c r="L13" s="16">
        <v>2.0</v>
      </c>
      <c r="M13" s="16"/>
      <c r="N13" s="16"/>
      <c r="O13" s="17"/>
      <c r="P13" s="17"/>
      <c r="Q13" s="17"/>
      <c r="R13" s="17"/>
      <c r="S13" s="11">
        <f t="shared" si="2"/>
        <v>4</v>
      </c>
    </row>
    <row r="14" ht="15.75" customHeight="1">
      <c r="A14" s="36" t="s">
        <v>31</v>
      </c>
      <c r="B14" s="17"/>
      <c r="C14" s="17"/>
      <c r="D14" s="17"/>
      <c r="E14" s="17"/>
      <c r="F14" s="17"/>
      <c r="G14" s="16"/>
      <c r="H14" s="16"/>
      <c r="I14" s="17"/>
      <c r="J14" s="17"/>
      <c r="K14" s="17"/>
      <c r="L14" s="17"/>
      <c r="M14" s="16"/>
      <c r="N14" s="16"/>
      <c r="O14" s="17"/>
      <c r="P14" s="17"/>
      <c r="Q14" s="17"/>
      <c r="R14" s="17"/>
      <c r="S14" s="11">
        <f t="shared" si="2"/>
        <v>0</v>
      </c>
    </row>
    <row r="15" ht="15.75" customHeight="1">
      <c r="A15" s="35" t="str">
        <f>Gantt!A16</f>
        <v>T14</v>
      </c>
      <c r="B15" s="17"/>
      <c r="C15" s="17"/>
      <c r="D15" s="17"/>
      <c r="E15" s="17"/>
      <c r="F15" s="17"/>
      <c r="G15" s="16"/>
      <c r="H15" s="16"/>
      <c r="I15" s="17"/>
      <c r="J15" s="16"/>
      <c r="K15" s="17"/>
      <c r="L15" s="17"/>
      <c r="M15" s="16"/>
      <c r="N15" s="16"/>
      <c r="O15" s="16">
        <v>1.0</v>
      </c>
      <c r="P15" s="17"/>
      <c r="Q15" s="17"/>
      <c r="R15" s="17"/>
      <c r="S15" s="11">
        <f t="shared" si="2"/>
        <v>1</v>
      </c>
    </row>
    <row r="16" ht="15.75" customHeight="1">
      <c r="A16" s="35" t="str">
        <f>Gantt!A17</f>
        <v>T15</v>
      </c>
      <c r="B16" s="17"/>
      <c r="C16" s="17"/>
      <c r="D16" s="17"/>
      <c r="E16" s="17"/>
      <c r="F16" s="17"/>
      <c r="G16" s="16"/>
      <c r="H16" s="16"/>
      <c r="I16" s="17"/>
      <c r="J16" s="16"/>
      <c r="K16" s="17"/>
      <c r="L16" s="17"/>
      <c r="M16" s="16"/>
      <c r="N16" s="16"/>
      <c r="O16" s="16"/>
      <c r="P16" s="16">
        <v>1.0</v>
      </c>
      <c r="Q16" s="16"/>
      <c r="R16" s="17"/>
      <c r="S16" s="11">
        <f t="shared" si="2"/>
        <v>1</v>
      </c>
    </row>
    <row r="17" ht="15.75" customHeight="1">
      <c r="A17" s="35" t="str">
        <f>Gantt!A18</f>
        <v>T16</v>
      </c>
      <c r="B17" s="17"/>
      <c r="C17" s="17"/>
      <c r="D17" s="17"/>
      <c r="E17" s="17"/>
      <c r="F17" s="17"/>
      <c r="G17" s="16"/>
      <c r="H17" s="16"/>
      <c r="I17" s="17"/>
      <c r="J17" s="17"/>
      <c r="K17" s="17"/>
      <c r="L17" s="17"/>
      <c r="M17" s="16"/>
      <c r="N17" s="16"/>
      <c r="O17" s="17"/>
      <c r="P17" s="17"/>
      <c r="Q17" s="16">
        <v>1.0</v>
      </c>
      <c r="R17" s="17"/>
      <c r="S17" s="11">
        <f t="shared" si="2"/>
        <v>1</v>
      </c>
    </row>
    <row r="18" ht="15.75" customHeight="1">
      <c r="A18" s="37" t="s">
        <v>40</v>
      </c>
      <c r="B18" s="11">
        <f t="shared" ref="B18:R18" si="3">SUM(B2:B17)</f>
        <v>0</v>
      </c>
      <c r="C18" s="11">
        <f t="shared" si="3"/>
        <v>0</v>
      </c>
      <c r="D18" s="11">
        <f t="shared" si="3"/>
        <v>2</v>
      </c>
      <c r="E18" s="11">
        <f t="shared" si="3"/>
        <v>3</v>
      </c>
      <c r="F18" s="11">
        <f t="shared" si="3"/>
        <v>1</v>
      </c>
      <c r="G18" s="11">
        <f t="shared" si="3"/>
        <v>2</v>
      </c>
      <c r="H18" s="11">
        <f t="shared" si="3"/>
        <v>3</v>
      </c>
      <c r="I18" s="11">
        <f t="shared" si="3"/>
        <v>0</v>
      </c>
      <c r="J18" s="11">
        <f t="shared" si="3"/>
        <v>2</v>
      </c>
      <c r="K18" s="11">
        <f t="shared" si="3"/>
        <v>6</v>
      </c>
      <c r="L18" s="11">
        <f t="shared" si="3"/>
        <v>3</v>
      </c>
      <c r="M18" s="11">
        <f t="shared" si="3"/>
        <v>0</v>
      </c>
      <c r="N18" s="11">
        <f t="shared" si="3"/>
        <v>0</v>
      </c>
      <c r="O18" s="11">
        <f t="shared" si="3"/>
        <v>1</v>
      </c>
      <c r="P18" s="11">
        <f t="shared" si="3"/>
        <v>1</v>
      </c>
      <c r="Q18" s="11">
        <f t="shared" si="3"/>
        <v>1</v>
      </c>
      <c r="R18" s="11">
        <f t="shared" si="3"/>
        <v>0</v>
      </c>
      <c r="S18" s="11">
        <f t="shared" si="2"/>
        <v>25</v>
      </c>
    </row>
  </sheetData>
  <printOptions/>
  <pageMargins bottom="0.75" footer="0.0" header="0.0" left="0.7" right="0.7" top="0.75"/>
  <pageSetup orientation="landscape"/>
  <drawing r:id="rId1"/>
</worksheet>
</file>